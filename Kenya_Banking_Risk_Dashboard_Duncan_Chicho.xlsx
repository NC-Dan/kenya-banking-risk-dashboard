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63C90CC-7D6A-406E-8062-67E0C90DE133}" xr6:coauthVersionLast="47" xr6:coauthVersionMax="47" xr10:uidLastSave="{00000000-0000-0000-0000-000000000000}"/>
  <bookViews>
    <workbookView xWindow="-19310" yWindow="-60" windowWidth="19420" windowHeight="11020" firstSheet="2" activeTab="2" xr2:uid="{00000000-000D-0000-FFFF-FFFF00000000}"/>
  </bookViews>
  <sheets>
    <sheet name="Master_Portfolio" sheetId="8" r:id="rId1"/>
    <sheet name="ANALYSIS" sheetId="9" r:id="rId2"/>
    <sheet name="DASHBOARD" sheetId="11" r:id="rId3"/>
    <sheet name="Clean_Repayments" sheetId="7" r:id="rId4"/>
    <sheet name="Clean_Loans" sheetId="6" r:id="rId5"/>
    <sheet name="Clean_Customers" sheetId="5" r:id="rId6"/>
    <sheet name="RAW_Customers" sheetId="1" r:id="rId7"/>
    <sheet name="RAW_Loans" sheetId="2" r:id="rId8"/>
    <sheet name="RAW_Repayments" sheetId="3" r:id="rId9"/>
    <sheet name="README" sheetId="4" r:id="rId10"/>
  </sheets>
  <definedNames>
    <definedName name="ExternalData_1" localSheetId="5" hidden="1">'Clean_Customers'!$A$1:$H$21</definedName>
    <definedName name="ExternalData_2" localSheetId="4" hidden="1">'Clean_Loans'!$A$1:$H$21</definedName>
    <definedName name="ExternalData_3" localSheetId="3" hidden="1">'Clean_Repayments'!$A$1:$H$21</definedName>
    <definedName name="ExternalData_4" localSheetId="0" hidden="1">Master_Portfolio!$A$1:$Q$21</definedName>
  </definedNames>
  <calcPr calcId="191029"/>
  <pivotCaches>
    <pivotCache cacheId="1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1" l="1"/>
  <c r="F7" i="11"/>
  <c r="F6" i="11"/>
  <c r="C11" i="11"/>
  <c r="C10" i="11"/>
  <c r="C9" i="11"/>
  <c r="C8" i="11"/>
  <c r="C7" i="11"/>
  <c r="C12" i="11"/>
  <c r="C6" i="11"/>
  <c r="D3" i="11"/>
  <c r="F3" i="11"/>
  <c r="H3" i="11"/>
  <c r="B3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7F1813-C74D-400C-BB7C-9987A9EA850F}" keepAlive="1" name="Query - Clean_Customers" description="Connection to the 'Clean_Customers' query in the workbook." type="5" refreshedVersion="8" background="1" saveData="1">
    <dbPr connection="Provider=Microsoft.Mashup.OleDb.1;Data Source=$Workbook$;Location=Clean_Customers;Extended Properties=&quot;&quot;" command="SELECT * FROM [Clean_Customers]"/>
  </connection>
  <connection id="2" xr16:uid="{34C0C96C-4719-47E9-B2CB-F3914F549117}" keepAlive="1" name="Query - Clean_Loans" description="Connection to the 'Clean_Loans' query in the workbook." type="5" refreshedVersion="8" background="1" saveData="1">
    <dbPr connection="Provider=Microsoft.Mashup.OleDb.1;Data Source=$Workbook$;Location=Clean_Loans;Extended Properties=&quot;&quot;" command="SELECT * FROM [Clean_Loans]"/>
  </connection>
  <connection id="3" xr16:uid="{04D0B719-F454-4AB7-81AB-4F14DAC4C2B0}" keepAlive="1" name="Query - Clean_Repayments" description="Connection to the 'Clean_Repayments' query in the workbook." type="5" refreshedVersion="8" background="1" saveData="1">
    <dbPr connection="Provider=Microsoft.Mashup.OleDb.1;Data Source=$Workbook$;Location=Clean_Repayments;Extended Properties=&quot;&quot;" command="SELECT * FROM [Clean_Repayments]"/>
  </connection>
  <connection id="4" xr16:uid="{21BD7B52-0038-4625-9E23-D7B5EE27DAC7}" keepAlive="1" name="Query - Master_Portfolio" description="Connection to the 'Master_Portfolio' query in the workbook." type="5" refreshedVersion="8" background="1" saveData="1">
    <dbPr connection="Provider=Microsoft.Mashup.OleDb.1;Data Source=$Workbook$;Location=Master_Portfolio;Extended Properties=&quot;&quot;" command="SELECT * FROM [Master_Portfolio]"/>
  </connection>
</connections>
</file>

<file path=xl/sharedStrings.xml><?xml version="1.0" encoding="utf-8"?>
<sst xmlns="http://schemas.openxmlformats.org/spreadsheetml/2006/main" count="976" uniqueCount="273">
  <si>
    <t>Cust_ID</t>
  </si>
  <si>
    <t>Full_Name</t>
  </si>
  <si>
    <t>ID_Number</t>
  </si>
  <si>
    <t>Gender</t>
  </si>
  <si>
    <t>County</t>
  </si>
  <si>
    <t>Age</t>
  </si>
  <si>
    <t>Occupation</t>
  </si>
  <si>
    <t>Date_Joined</t>
  </si>
  <si>
    <t>C001</t>
  </si>
  <si>
    <t>JAMES oloo</t>
  </si>
  <si>
    <t>12345678</t>
  </si>
  <si>
    <t>M</t>
  </si>
  <si>
    <t>nairobi</t>
  </si>
  <si>
    <t>Teacher</t>
  </si>
  <si>
    <t>C002</t>
  </si>
  <si>
    <t>mary WANJIRU</t>
  </si>
  <si>
    <t>23456789</t>
  </si>
  <si>
    <t>F</t>
  </si>
  <si>
    <t>MOMBASA</t>
  </si>
  <si>
    <t>Nurse</t>
  </si>
  <si>
    <t>2021-03-15</t>
  </si>
  <si>
    <t>C003</t>
  </si>
  <si>
    <t>PETER otieno</t>
  </si>
  <si>
    <t>34567890</t>
  </si>
  <si>
    <t>kisumu</t>
  </si>
  <si>
    <t>Farmer</t>
  </si>
  <si>
    <t>C004</t>
  </si>
  <si>
    <t>alice KAMAU</t>
  </si>
  <si>
    <t>45678901</t>
  </si>
  <si>
    <t>Nakuru</t>
  </si>
  <si>
    <t>Engineer</t>
  </si>
  <si>
    <t>2021-05-20</t>
  </si>
  <si>
    <t>C005</t>
  </si>
  <si>
    <t>JOHN Mwangi</t>
  </si>
  <si>
    <t>56789012</t>
  </si>
  <si>
    <t>NAIROBI</t>
  </si>
  <si>
    <t>Business</t>
  </si>
  <si>
    <t>C006</t>
  </si>
  <si>
    <t>grace AKINYI</t>
  </si>
  <si>
    <t>67890123</t>
  </si>
  <si>
    <t>Student</t>
  </si>
  <si>
    <t>2021-07-10</t>
  </si>
  <si>
    <t>C007</t>
  </si>
  <si>
    <t>DAVID Kipchoge</t>
  </si>
  <si>
    <t>78901234</t>
  </si>
  <si>
    <t>eldoret</t>
  </si>
  <si>
    <t>C008</t>
  </si>
  <si>
    <t>SARAH Mutua</t>
  </si>
  <si>
    <t>89012345</t>
  </si>
  <si>
    <t>MACHAKOS</t>
  </si>
  <si>
    <t>2021-09-01</t>
  </si>
  <si>
    <t>C009</t>
  </si>
  <si>
    <t>robert OTIENO</t>
  </si>
  <si>
    <t>90123456</t>
  </si>
  <si>
    <t>C010</t>
  </si>
  <si>
    <t>JANE Wambui</t>
  </si>
  <si>
    <t>01234567</t>
  </si>
  <si>
    <t>NYERI</t>
  </si>
  <si>
    <t>2021-11-15</t>
  </si>
  <si>
    <t>C011</t>
  </si>
  <si>
    <t>michael OMONDI</t>
  </si>
  <si>
    <t>11223344</t>
  </si>
  <si>
    <t>KISUMU</t>
  </si>
  <si>
    <t>C012</t>
  </si>
  <si>
    <t>RUTH Chebet</t>
  </si>
  <si>
    <t>22334455</t>
  </si>
  <si>
    <t>2022-01-20</t>
  </si>
  <si>
    <t>C013</t>
  </si>
  <si>
    <t>samuel NJOROGE</t>
  </si>
  <si>
    <t>33445566</t>
  </si>
  <si>
    <t>C014</t>
  </si>
  <si>
    <t>ESTHER Auma</t>
  </si>
  <si>
    <t>44556677</t>
  </si>
  <si>
    <t>2022-03-10</t>
  </si>
  <si>
    <t>C015</t>
  </si>
  <si>
    <t>joseph KAMAU</t>
  </si>
  <si>
    <t>55667788</t>
  </si>
  <si>
    <t>C016</t>
  </si>
  <si>
    <t>DIANA Wanjiku</t>
  </si>
  <si>
    <t>66778899</t>
  </si>
  <si>
    <t>NAKURU</t>
  </si>
  <si>
    <t>2022-05-01</t>
  </si>
  <si>
    <t>C017</t>
  </si>
  <si>
    <t>francis MUTUA</t>
  </si>
  <si>
    <t>77889900</t>
  </si>
  <si>
    <t>machakos</t>
  </si>
  <si>
    <t>C018</t>
  </si>
  <si>
    <t>AGNES Akinyi</t>
  </si>
  <si>
    <t>88990011</t>
  </si>
  <si>
    <t>2022-07-15</t>
  </si>
  <si>
    <t>C019</t>
  </si>
  <si>
    <t>charles OLOO</t>
  </si>
  <si>
    <t>99001122</t>
  </si>
  <si>
    <t>Nairobi</t>
  </si>
  <si>
    <t>C020</t>
  </si>
  <si>
    <t>MARY Chebet</t>
  </si>
  <si>
    <t>00112233</t>
  </si>
  <si>
    <t>2022-09-01</t>
  </si>
  <si>
    <t>Loan_ID</t>
  </si>
  <si>
    <t>Loan_Type</t>
  </si>
  <si>
    <t>Amount</t>
  </si>
  <si>
    <t>Interest_Rate</t>
  </si>
  <si>
    <t>Issue_Date</t>
  </si>
  <si>
    <t>Due_Date</t>
  </si>
  <si>
    <t>Status</t>
  </si>
  <si>
    <t>L001</t>
  </si>
  <si>
    <t>Personal</t>
  </si>
  <si>
    <t>14%</t>
  </si>
  <si>
    <t>active</t>
  </si>
  <si>
    <t>L002</t>
  </si>
  <si>
    <t>12%</t>
  </si>
  <si>
    <t>2023-02-15</t>
  </si>
  <si>
    <t>2024-02-15</t>
  </si>
  <si>
    <t>ACTIVE</t>
  </si>
  <si>
    <t>L003</t>
  </si>
  <si>
    <t>Active</t>
  </si>
  <si>
    <t>L004</t>
  </si>
  <si>
    <t>Mortgage</t>
  </si>
  <si>
    <t>9%</t>
  </si>
  <si>
    <t>2023-04-01</t>
  </si>
  <si>
    <t>2033-04-01</t>
  </si>
  <si>
    <t>L005</t>
  </si>
  <si>
    <t>DEFAULTED</t>
  </si>
  <si>
    <t>L006</t>
  </si>
  <si>
    <t>2023-05-20</t>
  </si>
  <si>
    <t>2024-05-20</t>
  </si>
  <si>
    <t>L007</t>
  </si>
  <si>
    <t>L008</t>
  </si>
  <si>
    <t>2023-07-10</t>
  </si>
  <si>
    <t>2033-07-10</t>
  </si>
  <si>
    <t>L009</t>
  </si>
  <si>
    <t>defaulted</t>
  </si>
  <si>
    <t>L010</t>
  </si>
  <si>
    <t>2023-09-01</t>
  </si>
  <si>
    <t>2024-09-01</t>
  </si>
  <si>
    <t>L011</t>
  </si>
  <si>
    <t>L012</t>
  </si>
  <si>
    <t>2023-11-15</t>
  </si>
  <si>
    <t>2024-11-15</t>
  </si>
  <si>
    <t>L013</t>
  </si>
  <si>
    <t>L014</t>
  </si>
  <si>
    <t>2024-01-20</t>
  </si>
  <si>
    <t>2025-01-20</t>
  </si>
  <si>
    <t>L015</t>
  </si>
  <si>
    <t>L016</t>
  </si>
  <si>
    <t>2024-03-10</t>
  </si>
  <si>
    <t>2025-03-10</t>
  </si>
  <si>
    <t>L017</t>
  </si>
  <si>
    <t>L018</t>
  </si>
  <si>
    <t>2024-05-01</t>
  </si>
  <si>
    <t>2034-05-01</t>
  </si>
  <si>
    <t>L019</t>
  </si>
  <si>
    <t>L020</t>
  </si>
  <si>
    <t>2024-07-15</t>
  </si>
  <si>
    <t>2025-07-15</t>
  </si>
  <si>
    <t>Repay_ID</t>
  </si>
  <si>
    <t>Amount_Paid</t>
  </si>
  <si>
    <t>Payment_Date</t>
  </si>
  <si>
    <t>Payment_Method</t>
  </si>
  <si>
    <t>Days_Late</t>
  </si>
  <si>
    <t>R001</t>
  </si>
  <si>
    <t>mpesa</t>
  </si>
  <si>
    <t>R002</t>
  </si>
  <si>
    <t>2023-03-15</t>
  </si>
  <si>
    <t>BANK TRANSFER</t>
  </si>
  <si>
    <t>R003</t>
  </si>
  <si>
    <t>Mpesa</t>
  </si>
  <si>
    <t>R004</t>
  </si>
  <si>
    <t>2023-05-01</t>
  </si>
  <si>
    <t>bank transfer</t>
  </si>
  <si>
    <t>R005</t>
  </si>
  <si>
    <t>NONE</t>
  </si>
  <si>
    <t>R006</t>
  </si>
  <si>
    <t>2023-06-20</t>
  </si>
  <si>
    <t>R007</t>
  </si>
  <si>
    <t>Bank Transfer</t>
  </si>
  <si>
    <t>R008</t>
  </si>
  <si>
    <t>2023-08-10</t>
  </si>
  <si>
    <t>R009</t>
  </si>
  <si>
    <t>R010</t>
  </si>
  <si>
    <t>2023-10-01</t>
  </si>
  <si>
    <t>R011</t>
  </si>
  <si>
    <t>R012</t>
  </si>
  <si>
    <t>2023-12-15</t>
  </si>
  <si>
    <t>R013</t>
  </si>
  <si>
    <t>R014</t>
  </si>
  <si>
    <t>2024-02-20</t>
  </si>
  <si>
    <t>R015</t>
  </si>
  <si>
    <t>R016</t>
  </si>
  <si>
    <t>2024-04-10</t>
  </si>
  <si>
    <t>R017</t>
  </si>
  <si>
    <t>R018</t>
  </si>
  <si>
    <t>2024-06-01</t>
  </si>
  <si>
    <t>R019</t>
  </si>
  <si>
    <t>R020</t>
  </si>
  <si>
    <t>2024-08-15</t>
  </si>
  <si>
    <t>KENYA BANKING PORTFOLIO — LOAN PERFORMANCE &amp; RISK ANALYSIS</t>
  </si>
  <si>
    <t>PROJECT OVERVIEW</t>
  </si>
  <si>
    <t>three raw data exports from their core banking system — customer records, loan</t>
  </si>
  <si>
    <t>portfolio performance and deliver an executive dashboard identifying high-risk loans.</t>
  </si>
  <si>
    <t>SHEETS IN THIS WORKBOOK</t>
  </si>
  <si>
    <t>1. Inconsistent text case in names, counties, loan status, payment methods</t>
  </si>
  <si>
    <t>2. Mixed date formats — some Excel serial numbers, some text dates</t>
  </si>
  <si>
    <t>3. Zero values in Amount_Paid representing defaults (not actual zeros)</t>
  </si>
  <si>
    <t>4. Inconsistent Loan Status — active/ACTIVE/Active all mean the same thing</t>
  </si>
  <si>
    <t>5. Relationship keys: Cust_ID links Customers↔Loans↔Repayments</t>
  </si>
  <si>
    <t>6. Missing standardization on Payment_Method field</t>
  </si>
  <si>
    <t>SKILLS DEMONSTRATED</t>
  </si>
  <si>
    <t>- Power Query for automated data cleaning</t>
  </si>
  <si>
    <t>- Pivot Tables &amp; Pivot Charts for analysis</t>
  </si>
  <si>
    <t>- XLOOKUP for cross-sheet data linking</t>
  </si>
  <si>
    <t>- Conditional formatting for risk visualization</t>
  </si>
  <si>
    <t>- Dashboard design for executive reporting</t>
  </si>
  <si>
    <t>Defaulted</t>
  </si>
  <si>
    <t>James Oloo</t>
  </si>
  <si>
    <t>Mary Wanjiru</t>
  </si>
  <si>
    <t>Mombasa</t>
  </si>
  <si>
    <t>Peter Otieno</t>
  </si>
  <si>
    <t>Kisumu</t>
  </si>
  <si>
    <t>Alice Kamau</t>
  </si>
  <si>
    <t>John Mwangi</t>
  </si>
  <si>
    <t>Grace Akinyi</t>
  </si>
  <si>
    <t>David Kipchoge</t>
  </si>
  <si>
    <t>Eldoret</t>
  </si>
  <si>
    <t>Sarah Mutua</t>
  </si>
  <si>
    <t>Machakos</t>
  </si>
  <si>
    <t>Robert Otieno</t>
  </si>
  <si>
    <t>Jane Wambui</t>
  </si>
  <si>
    <t>Nyeri</t>
  </si>
  <si>
    <t>Michael Omondi</t>
  </si>
  <si>
    <t>Ruth Chebet</t>
  </si>
  <si>
    <t>Samuel Njoroge</t>
  </si>
  <si>
    <t>Esther Auma</t>
  </si>
  <si>
    <t>Joseph Kamau</t>
  </si>
  <si>
    <t>Diana Wanjiku</t>
  </si>
  <si>
    <t>Francis Mutua</t>
  </si>
  <si>
    <t>Agnes Akinyi</t>
  </si>
  <si>
    <t>Charles Oloo</t>
  </si>
  <si>
    <t>Mary Chebet</t>
  </si>
  <si>
    <t>Payment_Status</t>
  </si>
  <si>
    <t>PAID</t>
  </si>
  <si>
    <t>None</t>
  </si>
  <si>
    <t>Row Labels</t>
  </si>
  <si>
    <t>Grand Total</t>
  </si>
  <si>
    <t>Column Labels</t>
  </si>
  <si>
    <t>Count of Loan_ID</t>
  </si>
  <si>
    <t>Sum of Amount</t>
  </si>
  <si>
    <t>(All)</t>
  </si>
  <si>
    <t>Average of Days_Late</t>
  </si>
  <si>
    <t>Average of Amount</t>
  </si>
  <si>
    <t>Total Portfolio Value</t>
  </si>
  <si>
    <t>Total Defaults</t>
  </si>
  <si>
    <t>Default Rate</t>
  </si>
  <si>
    <t>Avg Days Late</t>
  </si>
  <si>
    <t>Defaults</t>
  </si>
  <si>
    <t>Loan Type</t>
  </si>
  <si>
    <t>Total Amount</t>
  </si>
  <si>
    <t>Kenya Banking — Loan Portfolio Risk Dashboard</t>
  </si>
  <si>
    <t>As a Data Analyst at a mid-sized Kenyan bank. The credit risk team has given me</t>
  </si>
  <si>
    <t>disbursements and repayment history. My job is to clean it, link it, analyze</t>
  </si>
  <si>
    <t>RAW_Customers   — 20 customer records with data quality issues</t>
  </si>
  <si>
    <t>RAW_Loans       — 20 loan records with inconsistent formatting</t>
  </si>
  <si>
    <t>RAW_Repayments  — 20 repayment records with missing values</t>
  </si>
  <si>
    <t>My taks:</t>
  </si>
  <si>
    <t>DATA_Clean      — To be built using Power Query</t>
  </si>
  <si>
    <t>ANALYSIS        — To be built using Pivot Tables &amp; advanced formulas</t>
  </si>
  <si>
    <t>DASHBOARD       — Final executive dashboard</t>
  </si>
  <si>
    <t>DATA QUALITY ISSUES TO FIND &amp; FIX (my cleaning checklist)</t>
  </si>
  <si>
    <t>🔴 Loan Status by County</t>
  </si>
  <si>
    <t>💰 Portfolio Value by Loan Type</t>
  </si>
  <si>
    <t>⏱️ Average Repayment Delay by County</t>
  </si>
  <si>
    <t>👥 Gender Lending Analysis</t>
  </si>
  <si>
    <t>Kenya Banking Portfolio — Risk Analysis (Pivot Tables)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</si>
</sst>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KES &quot;#,##0"/>
    <numFmt numFmtId="169" formatCode="[$KES]\ #,##0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4"/>
      <color rgb="FFC00000"/>
      <name val="Arial"/>
      <family val="2"/>
    </font>
    <font>
      <b/>
      <sz val="11"/>
      <color rgb="FF1F4E7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0"/>
      <color rgb="FF1F4E79"/>
      <name val="Arial"/>
      <family val="2"/>
    </font>
    <font>
      <sz val="11"/>
      <color rgb="FF1F4E79"/>
      <name val="Calibri"/>
      <family val="2"/>
      <scheme val="minor"/>
    </font>
    <font>
      <u/>
      <sz val="12"/>
      <color rgb="FF1F4E79"/>
      <name val="Calibri"/>
      <family val="2"/>
      <scheme val="minor"/>
    </font>
    <font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8" fontId="8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6" fillId="0" borderId="16" xfId="0" applyFont="1" applyBorder="1" applyAlignment="1">
      <alignment horizontal="left"/>
    </xf>
    <xf numFmtId="0" fontId="0" fillId="0" borderId="17" xfId="0" applyBorder="1" applyAlignment="1">
      <alignment horizontal="center"/>
    </xf>
    <xf numFmtId="0" fontId="5" fillId="6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0" fillId="0" borderId="0" xfId="0" applyBorder="1"/>
    <xf numFmtId="0" fontId="10" fillId="0" borderId="0" xfId="0" applyFont="1"/>
    <xf numFmtId="0" fontId="9" fillId="7" borderId="10" xfId="0" applyFont="1" applyFill="1" applyBorder="1" applyAlignment="1">
      <alignment horizontal="center"/>
    </xf>
    <xf numFmtId="0" fontId="11" fillId="0" borderId="0" xfId="0" applyFont="1" applyAlignment="1">
      <alignment wrapText="1"/>
    </xf>
    <xf numFmtId="0" fontId="12" fillId="0" borderId="0" xfId="0" applyFont="1"/>
    <xf numFmtId="0" fontId="0" fillId="0" borderId="12" xfId="0" pivotButton="1" applyBorder="1"/>
    <xf numFmtId="0" fontId="0" fillId="0" borderId="18" xfId="0" pivotButton="1" applyBorder="1"/>
    <xf numFmtId="0" fontId="0" fillId="0" borderId="18" xfId="0" applyBorder="1"/>
    <xf numFmtId="0" fontId="0" fillId="0" borderId="13" xfId="0" applyBorder="1"/>
    <xf numFmtId="0" fontId="0" fillId="0" borderId="14" xfId="0" pivotButton="1" applyBorder="1"/>
    <xf numFmtId="0" fontId="0" fillId="0" borderId="15" xfId="0" applyBorder="1"/>
    <xf numFmtId="0" fontId="0" fillId="0" borderId="14" xfId="0" applyBorder="1" applyAlignment="1">
      <alignment horizontal="left"/>
    </xf>
    <xf numFmtId="0" fontId="0" fillId="0" borderId="0" xfId="0" applyNumberFormat="1" applyBorder="1"/>
    <xf numFmtId="0" fontId="0" fillId="0" borderId="15" xfId="0" applyNumberFormat="1" applyBorder="1"/>
    <xf numFmtId="0" fontId="0" fillId="0" borderId="16" xfId="0" applyBorder="1" applyAlignment="1">
      <alignment horizontal="left"/>
    </xf>
    <xf numFmtId="0" fontId="0" fillId="0" borderId="19" xfId="0" applyNumberFormat="1" applyBorder="1"/>
    <xf numFmtId="0" fontId="0" fillId="0" borderId="17" xfId="0" applyNumberFormat="1" applyBorder="1"/>
    <xf numFmtId="0" fontId="0" fillId="0" borderId="14" xfId="0" applyBorder="1"/>
    <xf numFmtId="0" fontId="0" fillId="0" borderId="20" xfId="0" pivotButton="1" applyBorder="1"/>
    <xf numFmtId="0" fontId="0" fillId="0" borderId="21" xfId="0" applyBorder="1"/>
    <xf numFmtId="0" fontId="0" fillId="0" borderId="11" xfId="0" pivotButton="1" applyBorder="1"/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169" fontId="0" fillId="0" borderId="22" xfId="0" applyNumberFormat="1" applyBorder="1"/>
    <xf numFmtId="169" fontId="0" fillId="0" borderId="23" xfId="0" applyNumberFormat="1" applyBorder="1"/>
    <xf numFmtId="169" fontId="0" fillId="0" borderId="24" xfId="0" applyNumberFormat="1" applyBorder="1"/>
    <xf numFmtId="0" fontId="0" fillId="7" borderId="0" xfId="0" applyFill="1" applyAlignment="1">
      <alignment horizontal="center"/>
    </xf>
    <xf numFmtId="0" fontId="14" fillId="7" borderId="0" xfId="0" applyFont="1" applyFill="1" applyAlignment="1">
      <alignment horizontal="center"/>
    </xf>
  </cellXfs>
  <cellStyles count="1">
    <cellStyle name="Normal" xfId="0" builtinId="0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[$KES]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mruColors>
      <color rgb="FFC00000"/>
      <color rgb="FF1F4E79"/>
      <color rgb="FFD6E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Defaults by County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DASHBOARD!$C$5</c:f>
              <c:strCache>
                <c:ptCount val="1"/>
                <c:pt idx="0">
                  <c:v>Defaults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F4E7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97-43D6-A342-FA5D831CAF07}"/>
              </c:ext>
            </c:extLst>
          </c:dPt>
          <c:cat>
            <c:strRef>
              <c:f>DASHBOARD!$B$6:$B$12</c:f>
              <c:strCache>
                <c:ptCount val="7"/>
                <c:pt idx="0">
                  <c:v>Nairobi</c:v>
                </c:pt>
                <c:pt idx="1">
                  <c:v>Mombasa</c:v>
                </c:pt>
                <c:pt idx="2">
                  <c:v>Kisumu</c:v>
                </c:pt>
                <c:pt idx="3">
                  <c:v>Nakuru</c:v>
                </c:pt>
                <c:pt idx="4">
                  <c:v>Eldoret</c:v>
                </c:pt>
                <c:pt idx="5">
                  <c:v>Machakos</c:v>
                </c:pt>
                <c:pt idx="6">
                  <c:v>Nyeri</c:v>
                </c:pt>
              </c:strCache>
            </c:strRef>
          </c:cat>
          <c:val>
            <c:numRef>
              <c:f>DASHBOARD!$C$6:$C$12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3D6-A342-FA5D831CA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6897599"/>
        <c:axId val="996895679"/>
      </c:barChart>
      <c:catAx>
        <c:axId val="996897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895679"/>
        <c:crosses val="autoZero"/>
        <c:auto val="1"/>
        <c:lblAlgn val="ctr"/>
        <c:lblOffset val="100"/>
        <c:noMultiLvlLbl val="0"/>
      </c:catAx>
      <c:valAx>
        <c:axId val="99689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89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Portfolio by Loan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DASHBOARD!$F$5</c:f>
              <c:strCache>
                <c:ptCount val="1"/>
                <c:pt idx="0">
                  <c:v>Total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DASHBOARD!$E$6:$E$8</c:f>
              <c:strCache>
                <c:ptCount val="3"/>
                <c:pt idx="0">
                  <c:v>Personal</c:v>
                </c:pt>
                <c:pt idx="1">
                  <c:v>Business</c:v>
                </c:pt>
                <c:pt idx="2">
                  <c:v>Mortgage</c:v>
                </c:pt>
              </c:strCache>
            </c:strRef>
          </c:cat>
          <c:val>
            <c:numRef>
              <c:f>DASHBOARD!$F$6:$F$8</c:f>
              <c:numCache>
                <c:formatCode>General</c:formatCode>
                <c:ptCount val="3"/>
                <c:pt idx="0">
                  <c:v>390000</c:v>
                </c:pt>
                <c:pt idx="1">
                  <c:v>2295000</c:v>
                </c:pt>
                <c:pt idx="2">
                  <c:v>9600000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3-45A2-8A75-C9431B708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962025</xdr:colOff>
      <xdr:row>12</xdr:row>
      <xdr:rowOff>120650</xdr:rowOff>
    </xdr:from>
    <xdr:to>
      <xdr:col>5</xdr:col>
      <xdr:colOff>393700</xdr:colOff>
      <xdr:row>21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769556-203C-E7A2-7AD1-24A49E2FA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549275</xdr:colOff>
      <xdr:row>8</xdr:row>
      <xdr:rowOff>120651</xdr:rowOff>
    </xdr:from>
    <xdr:to>
      <xdr:col>8</xdr:col>
      <xdr:colOff>647700</xdr:colOff>
      <xdr:row>21</xdr:row>
      <xdr:rowOff>6351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138775-5A1A-F79D-93EF-046865974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3.542935648147" createdVersion="8" refreshedVersion="8" minRefreshableVersion="3" recordCount="20" xr:uid="{EE7E7B6B-BB49-4A7D-8E3D-D399F2127ED7}">
  <cacheSource type="worksheet">
    <worksheetSource name="Master_Portfolio"/>
  </cacheSource>
  <cacheFields count="17">
    <cacheField name="Loan_ID" numFmtId="0">
      <sharedItems/>
    </cacheField>
    <cacheField name="Cust_ID" numFmtId="0">
      <sharedItems/>
    </cacheField>
    <cacheField name="Loan_Type" numFmtId="0">
      <sharedItems count="3">
        <s v="Personal"/>
        <s v="Business"/>
        <s v="Mortgage"/>
      </sharedItems>
    </cacheField>
    <cacheField name="Amount" numFmtId="0">
      <sharedItems containsSemiMixedTypes="0" containsString="0" containsNumber="1" containsInteger="1" minValue="15000" maxValue="3200000"/>
    </cacheField>
    <cacheField name="Interest_Rate" numFmtId="0">
      <sharedItems containsSemiMixedTypes="0" containsString="0" containsNumber="1" minValue="0.09" maxValue="0.14000000000000001"/>
    </cacheField>
    <cacheField name="Issue_Date" numFmtId="14">
      <sharedItems containsSemiMixedTypes="0" containsNonDate="0" containsDate="1" containsString="0" minDate="2023-02-15T00:00:00" maxDate="2024-10-04T00:00:00"/>
    </cacheField>
    <cacheField name="Due_Date" numFmtId="14">
      <sharedItems containsSemiMixedTypes="0" containsNonDate="0" containsDate="1" containsString="0" minDate="2024-02-15T00:00:00" maxDate="2034-05-02T00:00:00"/>
    </cacheField>
    <cacheField name="Status" numFmtId="0">
      <sharedItems count="2">
        <s v="Active"/>
        <s v="Defaulted"/>
      </sharedItems>
    </cacheField>
    <cacheField name="Full_Name" numFmtId="0">
      <sharedItems/>
    </cacheField>
    <cacheField name="Gender" numFmtId="0">
      <sharedItems count="2">
        <s v="M"/>
        <s v="F"/>
      </sharedItems>
    </cacheField>
    <cacheField name="County" numFmtId="0">
      <sharedItems count="7">
        <s v="Nairobi"/>
        <s v="Mombasa"/>
        <s v="Kisumu"/>
        <s v="Nakuru"/>
        <s v="Eldoret"/>
        <s v="Machakos"/>
        <s v="Nyeri"/>
      </sharedItems>
    </cacheField>
    <cacheField name="Age" numFmtId="0">
      <sharedItems containsSemiMixedTypes="0" containsString="0" containsNumber="1" containsInteger="1" minValue="23" maxValue="55"/>
    </cacheField>
    <cacheField name="Occupation" numFmtId="0">
      <sharedItems/>
    </cacheField>
    <cacheField name="Amount_Paid" numFmtId="0">
      <sharedItems containsSemiMixedTypes="0" containsString="0" containsNumber="1" containsInteger="1" minValue="0" maxValue="58000"/>
    </cacheField>
    <cacheField name="Payment_Status" numFmtId="0">
      <sharedItems count="2">
        <s v="PAID"/>
        <s v="DEFAULTED"/>
      </sharedItems>
    </cacheField>
    <cacheField name="Payment_Method" numFmtId="0">
      <sharedItems/>
    </cacheField>
    <cacheField name="Days_Late" numFmtId="0">
      <sharedItems containsSemiMixedTypes="0" containsString="0" containsNumber="1" containsInteger="1" minValue="0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L001"/>
    <s v="C001"/>
    <x v="0"/>
    <n v="50000"/>
    <n v="0.14000000000000001"/>
    <d v="2024-01-01T00:00:00"/>
    <d v="2024-12-31T00:00:00"/>
    <x v="0"/>
    <s v="James Oloo"/>
    <x v="0"/>
    <x v="0"/>
    <n v="34"/>
    <s v="Teacher"/>
    <n v="5000"/>
    <x v="0"/>
    <s v="Mpesa"/>
    <n v="0"/>
  </r>
  <r>
    <s v="L002"/>
    <s v="C002"/>
    <x v="1"/>
    <n v="250000"/>
    <n v="0.12"/>
    <d v="2023-02-15T00:00:00"/>
    <d v="2024-02-15T00:00:00"/>
    <x v="0"/>
    <s v="Mary Wanjiru"/>
    <x v="1"/>
    <x v="1"/>
    <n v="28"/>
    <s v="Nurse"/>
    <n v="25000"/>
    <x v="0"/>
    <s v="Bank Transfer"/>
    <n v="5"/>
  </r>
  <r>
    <s v="L003"/>
    <s v="C003"/>
    <x v="0"/>
    <n v="30000"/>
    <n v="0.14000000000000001"/>
    <d v="2024-02-01T00:00:00"/>
    <d v="2025-01-31T00:00:00"/>
    <x v="0"/>
    <s v="Peter Otieno"/>
    <x v="0"/>
    <x v="2"/>
    <n v="45"/>
    <s v="Farmer"/>
    <n v="3000"/>
    <x v="0"/>
    <s v="Mpesa"/>
    <n v="12"/>
  </r>
  <r>
    <s v="L004"/>
    <s v="C004"/>
    <x v="2"/>
    <n v="2500000"/>
    <n v="0.09"/>
    <d v="2023-04-01T00:00:00"/>
    <d v="2033-04-01T00:00:00"/>
    <x v="0"/>
    <s v="Alice Kamau"/>
    <x v="1"/>
    <x v="3"/>
    <n v="31"/>
    <s v="Engineer"/>
    <n v="45000"/>
    <x v="0"/>
    <s v="Bank Transfer"/>
    <n v="0"/>
  </r>
  <r>
    <s v="L005"/>
    <s v="C005"/>
    <x v="1"/>
    <n v="500000"/>
    <n v="0.12"/>
    <d v="2024-03-03T00:00:00"/>
    <d v="2025-03-03T00:00:00"/>
    <x v="1"/>
    <s v="John Mwangi"/>
    <x v="0"/>
    <x v="0"/>
    <n v="52"/>
    <s v="Business"/>
    <n v="0"/>
    <x v="1"/>
    <s v="None"/>
    <n v="90"/>
  </r>
  <r>
    <s v="L006"/>
    <s v="C006"/>
    <x v="0"/>
    <n v="15000"/>
    <n v="0.14000000000000001"/>
    <d v="2023-05-20T00:00:00"/>
    <d v="2024-05-20T00:00:00"/>
    <x v="0"/>
    <s v="Grace Akinyi"/>
    <x v="1"/>
    <x v="2"/>
    <n v="24"/>
    <s v="Student"/>
    <n v="1500"/>
    <x v="0"/>
    <s v="Mpesa"/>
    <n v="3"/>
  </r>
  <r>
    <s v="L007"/>
    <s v="C007"/>
    <x v="1"/>
    <n v="180000"/>
    <n v="0.12"/>
    <d v="2024-04-02T00:00:00"/>
    <d v="2025-04-02T00:00:00"/>
    <x v="0"/>
    <s v="David Kipchoge"/>
    <x v="0"/>
    <x v="4"/>
    <n v="38"/>
    <s v="Farmer"/>
    <n v="18000"/>
    <x v="0"/>
    <s v="Bank Transfer"/>
    <n v="0"/>
  </r>
  <r>
    <s v="L008"/>
    <s v="C008"/>
    <x v="2"/>
    <n v="1800000"/>
    <n v="0.09"/>
    <d v="2023-07-10T00:00:00"/>
    <d v="2033-07-10T00:00:00"/>
    <x v="0"/>
    <s v="Sarah Mutua"/>
    <x v="1"/>
    <x v="5"/>
    <n v="43"/>
    <s v="Teacher"/>
    <n v="35000"/>
    <x v="0"/>
    <s v="Bank Transfer"/>
    <n v="0"/>
  </r>
  <r>
    <s v="L009"/>
    <s v="C009"/>
    <x v="0"/>
    <n v="75000"/>
    <n v="0.14000000000000001"/>
    <d v="2024-05-03T00:00:00"/>
    <d v="2025-05-03T00:00:00"/>
    <x v="1"/>
    <s v="Robert Otieno"/>
    <x v="0"/>
    <x v="0"/>
    <n v="29"/>
    <s v="Engineer"/>
    <n v="0"/>
    <x v="1"/>
    <s v="None"/>
    <n v="75"/>
  </r>
  <r>
    <s v="L010"/>
    <s v="C010"/>
    <x v="1"/>
    <n v="320000"/>
    <n v="0.12"/>
    <d v="2023-09-01T00:00:00"/>
    <d v="2024-09-01T00:00:00"/>
    <x v="0"/>
    <s v="Jane Wambui"/>
    <x v="1"/>
    <x v="6"/>
    <n v="36"/>
    <s v="Nurse"/>
    <n v="32000"/>
    <x v="0"/>
    <s v="Mpesa"/>
    <n v="8"/>
  </r>
  <r>
    <s v="L011"/>
    <s v="C011"/>
    <x v="0"/>
    <n v="45000"/>
    <n v="0.14000000000000001"/>
    <d v="2024-06-03T00:00:00"/>
    <d v="2025-06-03T00:00:00"/>
    <x v="0"/>
    <s v="Michael Omondi"/>
    <x v="0"/>
    <x v="2"/>
    <n v="41"/>
    <s v="Business"/>
    <n v="4500"/>
    <x v="0"/>
    <s v="Mpesa"/>
    <n v="0"/>
  </r>
  <r>
    <s v="L012"/>
    <s v="C012"/>
    <x v="1"/>
    <n v="150000"/>
    <n v="0.12"/>
    <d v="2023-11-15T00:00:00"/>
    <d v="2024-11-15T00:00:00"/>
    <x v="0"/>
    <s v="Ruth Chebet"/>
    <x v="1"/>
    <x v="4"/>
    <n v="27"/>
    <s v="Teacher"/>
    <n v="15000"/>
    <x v="0"/>
    <s v="Bank Transfer"/>
    <n v="2"/>
  </r>
  <r>
    <s v="L013"/>
    <s v="C013"/>
    <x v="2"/>
    <n v="3200000"/>
    <n v="0.09"/>
    <d v="2024-07-03T00:00:00"/>
    <d v="2025-07-03T00:00:00"/>
    <x v="0"/>
    <s v="Samuel Njoroge"/>
    <x v="0"/>
    <x v="3"/>
    <n v="55"/>
    <s v="Farmer"/>
    <n v="58000"/>
    <x v="0"/>
    <s v="Bank Transfer"/>
    <n v="0"/>
  </r>
  <r>
    <s v="L014"/>
    <s v="C014"/>
    <x v="0"/>
    <n v="60000"/>
    <n v="0.14000000000000001"/>
    <d v="2024-01-20T00:00:00"/>
    <d v="2025-01-20T00:00:00"/>
    <x v="1"/>
    <s v="Esther Auma"/>
    <x v="1"/>
    <x v="1"/>
    <n v="32"/>
    <s v="Nurse"/>
    <n v="0"/>
    <x v="1"/>
    <s v="None"/>
    <n v="85"/>
  </r>
  <r>
    <s v="L015"/>
    <s v="C015"/>
    <x v="1"/>
    <n v="420000"/>
    <n v="0.12"/>
    <d v="2024-08-03T00:00:00"/>
    <d v="2025-08-03T00:00:00"/>
    <x v="0"/>
    <s v="Joseph Kamau"/>
    <x v="0"/>
    <x v="0"/>
    <n v="47"/>
    <s v="Engineer"/>
    <n v="42000"/>
    <x v="0"/>
    <s v="Mpesa"/>
    <n v="0"/>
  </r>
  <r>
    <s v="L016"/>
    <s v="C016"/>
    <x v="0"/>
    <n v="25000"/>
    <n v="0.14000000000000001"/>
    <d v="2024-03-10T00:00:00"/>
    <d v="2025-03-10T00:00:00"/>
    <x v="0"/>
    <s v="Diana Wanjiku"/>
    <x v="1"/>
    <x v="3"/>
    <n v="23"/>
    <s v="Student"/>
    <n v="2500"/>
    <x v="0"/>
    <s v="Mpesa"/>
    <n v="6"/>
  </r>
  <r>
    <s v="L017"/>
    <s v="C017"/>
    <x v="1"/>
    <n v="280000"/>
    <n v="0.12"/>
    <d v="2024-09-03T00:00:00"/>
    <d v="2025-09-03T00:00:00"/>
    <x v="0"/>
    <s v="Francis Mutua"/>
    <x v="0"/>
    <x v="5"/>
    <n v="39"/>
    <s v="Business"/>
    <n v="28000"/>
    <x v="0"/>
    <s v="Bank Transfer"/>
    <n v="0"/>
  </r>
  <r>
    <s v="L018"/>
    <s v="C018"/>
    <x v="2"/>
    <n v="2100000"/>
    <n v="0.09"/>
    <d v="2024-05-01T00:00:00"/>
    <d v="2034-05-01T00:00:00"/>
    <x v="0"/>
    <s v="Agnes Akinyi"/>
    <x v="1"/>
    <x v="2"/>
    <n v="44"/>
    <s v="Teacher"/>
    <n v="38000"/>
    <x v="0"/>
    <s v="Bank Transfer"/>
    <n v="0"/>
  </r>
  <r>
    <s v="L019"/>
    <s v="C019"/>
    <x v="0"/>
    <n v="90000"/>
    <n v="0.14000000000000001"/>
    <d v="2024-10-03T00:00:00"/>
    <d v="2025-10-03T00:00:00"/>
    <x v="1"/>
    <s v="Charles Oloo"/>
    <x v="0"/>
    <x v="0"/>
    <n v="33"/>
    <s v="Engineer"/>
    <n v="0"/>
    <x v="1"/>
    <s v="None"/>
    <n v="92"/>
  </r>
  <r>
    <s v="L020"/>
    <s v="C020"/>
    <x v="1"/>
    <n v="195000"/>
    <n v="0.12"/>
    <d v="2024-07-15T00:00:00"/>
    <d v="2025-07-15T00:00:00"/>
    <x v="0"/>
    <s v="Mary Chebet"/>
    <x v="1"/>
    <x v="4"/>
    <n v="26"/>
    <s v="Nurse"/>
    <n v="19500"/>
    <x v="0"/>
    <s v="Mpesa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DFC6C-0D55-479A-AE70-36E3CDB88570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8:I21" firstHeaderRow="0" firstDataRow="1" firstDataCol="1"/>
  <pivotFields count="17">
    <pivotField dataField="1" showAll="0"/>
    <pivotField showAll="0"/>
    <pivotField showAll="0"/>
    <pivotField dataField="1" showAll="0"/>
    <pivotField showAll="0"/>
    <pivotField numFmtId="14"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mount" fld="3" subtotal="average" baseField="9" baseItem="0"/>
    <dataField name="Sum of Amount" fld="3" baseField="9" baseItem="0"/>
    <dataField name="Count of Loan_ID" fld="0" subtotal="count" baseField="9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9" type="button" dataOnly="0" labelOnly="1" outline="0" axis="axisRow" fieldPosition="0"/>
    </format>
    <format dxfId="21">
      <pivotArea dataOnly="0" labelOnly="1" fieldPosition="0">
        <references count="1">
          <reference field="9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Dark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1D9DA-E4DA-4560-A2C7-9C769CB498E3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6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numFmtId="14" showAll="0"/>
    <pivotField numFmtId="14" showAll="0"/>
    <pivotField axis="axisPage" showAll="0">
      <items count="3">
        <item x="0"/>
        <item x="1"/>
        <item t="default"/>
      </items>
    </pivotField>
    <pivotField showAll="0"/>
    <pivotField showAll="0"/>
    <pivotField axis="axisRow" showAll="0">
      <items count="8">
        <item x="4"/>
        <item x="2"/>
        <item x="5"/>
        <item x="1"/>
        <item x="0"/>
        <item x="3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7" hier="-1"/>
  </pageFields>
  <dataFields count="1">
    <dataField name="Average of Days_Late" fld="16" subtotal="average" baseField="10" baseItem="0"/>
  </dataFields>
  <formats count="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0" type="button" dataOnly="0" labelOnly="1" outline="0" axis="axisRow" fieldPosition="0"/>
    </format>
    <format dxfId="28">
      <pivotArea dataOnly="0" labelOnly="1" fieldPosition="0">
        <references count="1">
          <reference field="10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1">
              <x v="3"/>
            </reference>
          </references>
        </pivotArea>
      </pivotAreas>
    </conditionalFormat>
  </conditionalFormats>
  <pivotTableStyleInfo name="PivotStyleDark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82728-D530-45D1-B7C9-7A0C992E029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9" firstHeaderRow="1" firstDataRow="1" firstDataCol="1" rowPageCount="1" colPageCount="1"/>
  <pivotFields count="17"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numFmtId="14" showAll="0"/>
    <pivotField numFmtId="14"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Sum of Amount" fld="3" baseField="2" baseItem="0" numFmtId="169"/>
  </dataFields>
  <formats count="7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" type="button" dataOnly="0" labelOnly="1" outline="0" axis="axisRow" fieldPosition="0"/>
    </format>
    <format dxfId="35">
      <pivotArea dataOnly="0" labelOnly="1" fieldPosition="0">
        <references count="1">
          <reference field="2" count="2">
            <x v="0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94AD1-C6A1-4D07-A0D2-6BBF797A280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7">
    <pivotField dataField="1" showAll="0"/>
    <pivotField showAll="0"/>
    <pivotField showAll="0"/>
    <pivotField showAll="0"/>
    <pivotField showAll="0"/>
    <pivotField numFmtId="14"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8">
        <item x="4"/>
        <item x="2"/>
        <item x="5"/>
        <item x="1"/>
        <item x="0"/>
        <item x="3"/>
        <item x="6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Loan_ID" fld="0" subtotal="count" baseField="10" baseItem="0"/>
  </dataFields>
  <formats count="1">
    <format dxfId="39">
      <pivotArea type="all" dataOnly="0" outline="0" fieldPosition="0"/>
    </format>
  </formats>
  <conditionalFormats count="1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7" count="1" selected="0">
              <x v="1"/>
            </reference>
            <reference field="10" count="1">
              <x v="4"/>
            </reference>
          </references>
        </pivotArea>
      </pivotAreas>
    </conditionalFormat>
  </conditionalFormats>
  <pivotTableStyleInfo name="PivotStyleDark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2910C93-B867-45E7-8D2B-C51AC5B9536F}" autoFormatId="16" applyNumberFormats="0" applyBorderFormats="0" applyFontFormats="0" applyPatternFormats="0" applyAlignmentFormats="0" applyWidthHeightFormats="0">
  <queryTableRefresh nextId="18">
    <queryTableFields count="17">
      <queryTableField id="1" name="Loan_ID" tableColumnId="1"/>
      <queryTableField id="2" name="Cust_ID" tableColumnId="2"/>
      <queryTableField id="3" name="Loan_Type" tableColumnId="3"/>
      <queryTableField id="4" name="Amount" tableColumnId="4"/>
      <queryTableField id="5" name="Interest_Rate" tableColumnId="5"/>
      <queryTableField id="6" name="Issue_Date" tableColumnId="6"/>
      <queryTableField id="7" name="Due_Date" tableColumnId="7"/>
      <queryTableField id="8" name="Status" tableColumnId="8"/>
      <queryTableField id="9" name="Full_Name" tableColumnId="9"/>
      <queryTableField id="10" name="Gender" tableColumnId="10"/>
      <queryTableField id="11" name="County" tableColumnId="11"/>
      <queryTableField id="12" name="Age" tableColumnId="12"/>
      <queryTableField id="13" name="Occupation" tableColumnId="13"/>
      <queryTableField id="14" name="Amount_Paid" tableColumnId="14"/>
      <queryTableField id="15" name="Payment_Status" tableColumnId="15"/>
      <queryTableField id="16" name="Payment_Method" tableColumnId="16"/>
      <queryTableField id="17" name="Days_L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0FBCF83-1338-4720-8844-34C944587149}" autoFormatId="16" applyNumberFormats="0" applyBorderFormats="0" applyFontFormats="0" applyPatternFormats="0" applyAlignmentFormats="0" applyWidthHeightFormats="0">
  <queryTableRefresh nextId="9">
    <queryTableFields count="8">
      <queryTableField id="1" name="Repay_ID" tableColumnId="1"/>
      <queryTableField id="2" name="Loan_ID" tableColumnId="2"/>
      <queryTableField id="3" name="Cust_ID" tableColumnId="3"/>
      <queryTableField id="4" name="Amount_Paid" tableColumnId="4"/>
      <queryTableField id="5" name="Payment_Status" tableColumnId="5"/>
      <queryTableField id="6" name="Payment_Date" tableColumnId="6"/>
      <queryTableField id="7" name="Payment_Method" tableColumnId="7"/>
      <queryTableField id="8" name="Days_Lat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88569CE-E321-4245-A988-53C46EBC8878}" autoFormatId="16" applyNumberFormats="0" applyBorderFormats="0" applyFontFormats="0" applyPatternFormats="0" applyAlignmentFormats="0" applyWidthHeightFormats="0">
  <queryTableRefresh nextId="9">
    <queryTableFields count="8">
      <queryTableField id="1" name="Loan_ID" tableColumnId="1"/>
      <queryTableField id="2" name="Cust_ID" tableColumnId="2"/>
      <queryTableField id="3" name="Loan_Type" tableColumnId="3"/>
      <queryTableField id="4" name="Amount" tableColumnId="4"/>
      <queryTableField id="5" name="Interest_Rate" tableColumnId="5"/>
      <queryTableField id="6" name="Issue_Date" tableColumnId="6"/>
      <queryTableField id="7" name="Due_Date" tableColumnId="7"/>
      <queryTableField id="8" name="Statu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A43896-30E7-4473-8451-E346E14184B4}" autoFormatId="16" applyNumberFormats="0" applyBorderFormats="0" applyFontFormats="0" applyPatternFormats="0" applyAlignmentFormats="0" applyWidthHeightFormats="0">
  <queryTableRefresh nextId="9">
    <queryTableFields count="8">
      <queryTableField id="1" name="Cust_ID" tableColumnId="1"/>
      <queryTableField id="2" name="Full_Name" tableColumnId="2"/>
      <queryTableField id="3" name="ID_Number" tableColumnId="3"/>
      <queryTableField id="4" name="Gender" tableColumnId="4"/>
      <queryTableField id="5" name="County" tableColumnId="5"/>
      <queryTableField id="6" name="Age" tableColumnId="6"/>
      <queryTableField id="7" name="Occupation" tableColumnId="7"/>
      <queryTableField id="8" name="Date_Join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B7085B-DF42-4B7C-B70E-1BAEAE43003B}" name="Master_Portfolio" displayName="Master_Portfolio" ref="A1:Q21" tableType="queryTable">
  <autoFilter ref="A1:Q21" xr:uid="{1AB7085B-DF42-4B7C-B70E-1BAEAE43003B}"/>
  <tableColumns count="17">
    <tableColumn id="1" xr3:uid="{D2D644EF-6C79-4DD5-A4A9-E2C585F56D65}" uniqueName="1" name="Loan_ID" totalsRowLabel="Total" queryTableFieldId="1" dataDxfId="50"/>
    <tableColumn id="2" xr3:uid="{5CE3D430-B53D-41F9-B594-9DFB992FE4E2}" uniqueName="2" name="Cust_ID" queryTableFieldId="2" dataDxfId="49"/>
    <tableColumn id="3" xr3:uid="{54D9F376-E8DE-42C0-A9AA-25A1946EF6B5}" uniqueName="3" name="Loan_Type" queryTableFieldId="3" dataDxfId="48"/>
    <tableColumn id="4" xr3:uid="{4B132928-0D4D-498E-91E5-1E061BCF85CF}" uniqueName="4" name="Amount" totalsRowFunction="sum" queryTableFieldId="4"/>
    <tableColumn id="5" xr3:uid="{B8AE780D-1093-4262-A065-7C0EFA5BE282}" uniqueName="5" name="Interest_Rate" queryTableFieldId="5"/>
    <tableColumn id="6" xr3:uid="{3263F1D3-B09D-4E58-9042-5678EE44DEC4}" uniqueName="6" name="Issue_Date" queryTableFieldId="6" dataDxfId="47"/>
    <tableColumn id="7" xr3:uid="{4602640C-93FD-4354-8707-43F70444CB80}" uniqueName="7" name="Due_Date" queryTableFieldId="7" dataDxfId="46"/>
    <tableColumn id="8" xr3:uid="{788904BD-8A51-4D1A-88E1-CB2D8D2F8DB8}" uniqueName="8" name="Status" queryTableFieldId="8" dataDxfId="45"/>
    <tableColumn id="9" xr3:uid="{66F49777-C04D-447A-857D-B5E7D291238B}" uniqueName="9" name="Full_Name" queryTableFieldId="9" dataDxfId="44"/>
    <tableColumn id="10" xr3:uid="{D3B32237-7262-4293-A8AA-859C1E72D229}" uniqueName="10" name="Gender" queryTableFieldId="10" dataDxfId="43"/>
    <tableColumn id="11" xr3:uid="{8465EECE-1AAA-4A56-A877-5163FC9D6D23}" uniqueName="11" name="County" queryTableFieldId="11" dataDxfId="42"/>
    <tableColumn id="12" xr3:uid="{E2880E7F-5AD9-40EB-9649-156A2801518C}" uniqueName="12" name="Age" queryTableFieldId="12"/>
    <tableColumn id="13" xr3:uid="{1FBEAF6D-98ED-4D61-AEC8-48BDB8DCC689}" uniqueName="13" name="Occupation" queryTableFieldId="13" dataDxfId="41"/>
    <tableColumn id="14" xr3:uid="{5A9CF918-A02B-4D58-88BD-F028032FC215}" uniqueName="14" name="Amount_Paid" queryTableFieldId="14"/>
    <tableColumn id="15" xr3:uid="{D854F437-913B-4C1F-996B-8B193BEAED34}" uniqueName="15" name="Payment_Status" queryTableFieldId="15"/>
    <tableColumn id="16" xr3:uid="{32BF92E9-B37D-4B0B-8576-CE52CFFA72DB}" uniqueName="16" name="Payment_Method" queryTableFieldId="16" dataDxfId="40"/>
    <tableColumn id="17" xr3:uid="{2E29F62C-AAC0-499C-B264-FD4884A6E5EB}" uniqueName="17" name="Days_Late" totalsRowFunction="sum" queryTableField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B153E1-B2C3-484F-978A-BA61B390A5F3}" name="Clean_Repayments" displayName="Clean_Repayments" ref="A1:H21" tableType="queryTable" totalsRowShown="0">
  <autoFilter ref="A1:H21" xr:uid="{5DB153E1-B2C3-484F-978A-BA61B390A5F3}"/>
  <tableColumns count="8">
    <tableColumn id="1" xr3:uid="{F35672D2-AA5B-4335-9E7D-3D53CA1830FE}" uniqueName="1" name="Repay_ID" queryTableFieldId="1" dataDxfId="55"/>
    <tableColumn id="2" xr3:uid="{B9E6B93D-4A26-40B2-9188-7F33CEB2F250}" uniqueName="2" name="Loan_ID" queryTableFieldId="2" dataDxfId="54"/>
    <tableColumn id="3" xr3:uid="{5133CA52-C0DE-4CB3-A763-A58944C9E1E8}" uniqueName="3" name="Cust_ID" queryTableFieldId="3" dataDxfId="53"/>
    <tableColumn id="4" xr3:uid="{6E2EFD6E-4485-49C7-BFAA-CA57FC803324}" uniqueName="4" name="Amount_Paid" queryTableFieldId="4"/>
    <tableColumn id="5" xr3:uid="{24A88A79-0F8F-4BEC-8142-31E2D366923F}" uniqueName="5" name="Payment_Status" queryTableFieldId="5"/>
    <tableColumn id="6" xr3:uid="{64FB1048-BACB-48E2-9097-DE37F5A1595A}" uniqueName="6" name="Payment_Date" queryTableFieldId="6" dataDxfId="52"/>
    <tableColumn id="7" xr3:uid="{5A1DCF47-1301-4251-B9E3-29F79C83D285}" uniqueName="7" name="Payment_Method" queryTableFieldId="7" dataDxfId="51"/>
    <tableColumn id="8" xr3:uid="{CA2B5ECD-445C-45B9-A285-E8FCABA431D1}" uniqueName="8" name="Days_Lat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8838C8-C256-46C5-9B04-5CA061C25626}" name="Clean_Loans" displayName="Clean_Loans" ref="A1:H21" tableType="queryTable" totalsRowShown="0">
  <autoFilter ref="A1:H21" xr:uid="{4E8838C8-C256-46C5-9B04-5CA061C25626}"/>
  <tableColumns count="8">
    <tableColumn id="1" xr3:uid="{DF0092D3-AA62-4C9E-9DB3-EE6DBA08AC11}" uniqueName="1" name="Loan_ID" queryTableFieldId="1" dataDxfId="67"/>
    <tableColumn id="2" xr3:uid="{C4BDB968-347F-46BE-B578-F3DA00F08302}" uniqueName="2" name="Cust_ID" queryTableFieldId="2" dataDxfId="66"/>
    <tableColumn id="3" xr3:uid="{5AB91B05-DDAF-4A20-88E5-25924A8C40F7}" uniqueName="3" name="Loan_Type" queryTableFieldId="3" dataDxfId="65"/>
    <tableColumn id="4" xr3:uid="{5FFD191B-70CC-4C5B-9DCE-1DAC2A8533EE}" uniqueName="4" name="Amount" queryTableFieldId="4"/>
    <tableColumn id="5" xr3:uid="{3D29FA72-06CD-4423-823D-E017669CBBF0}" uniqueName="5" name="Interest_Rate" queryTableFieldId="5"/>
    <tableColumn id="6" xr3:uid="{2CEADE92-5F47-411C-9C68-DDE32BDB78D5}" uniqueName="6" name="Issue_Date" queryTableFieldId="6" dataDxfId="64"/>
    <tableColumn id="7" xr3:uid="{43006A77-BCA9-4D2D-A96C-B961A79535BC}" uniqueName="7" name="Due_Date" queryTableFieldId="7" dataDxfId="63"/>
    <tableColumn id="8" xr3:uid="{0C20CCBC-5DB8-421C-B3B5-39DC343A240D}" uniqueName="8" name="Status" queryTableFieldId="8" dataDxfId="6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7173B7-1EEF-4376-BEF7-41B26444A233}" name="Clean_Customers" displayName="Clean_Customers" ref="A1:H21" tableType="queryTable" totalsRowShown="0">
  <autoFilter ref="A1:H21" xr:uid="{3D7173B7-1EEF-4376-BEF7-41B26444A233}"/>
  <tableColumns count="8">
    <tableColumn id="1" xr3:uid="{74BDDF95-CDDB-4965-91DB-5FD87C242804}" uniqueName="1" name="Cust_ID" queryTableFieldId="1" dataDxfId="61"/>
    <tableColumn id="2" xr3:uid="{8AB93219-54CC-4965-A192-C0DA977D0D69}" uniqueName="2" name="Full_Name" queryTableFieldId="2" dataDxfId="60"/>
    <tableColumn id="3" xr3:uid="{ECEC0C22-7DAA-4DC5-AB53-61CBA4364835}" uniqueName="3" name="ID_Number" queryTableFieldId="3"/>
    <tableColumn id="4" xr3:uid="{F94432E4-B3D0-404A-AD52-01CC0CB1E560}" uniqueName="4" name="Gender" queryTableFieldId="4" dataDxfId="59"/>
    <tableColumn id="5" xr3:uid="{FC05A7A1-F977-4506-876E-A91C603D393A}" uniqueName="5" name="County" queryTableFieldId="5" dataDxfId="58"/>
    <tableColumn id="6" xr3:uid="{6A7A0E2C-36AC-4810-95BD-AC887B29149D}" uniqueName="6" name="Age" queryTableFieldId="6"/>
    <tableColumn id="7" xr3:uid="{F8311EE7-C663-49AD-B146-C62814EFD623}" uniqueName="7" name="Occupation" queryTableFieldId="7" dataDxfId="57"/>
    <tableColumn id="8" xr3:uid="{0266AE6A-D1A3-45E8-BA6C-4F1DEEC1F580}" uniqueName="8" name="Date_Joined" queryTableFieldId="8" dataDxfId="5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8E1C59-7AC8-40A6-893F-2A3DC0DCE8C0}" name="Table1" displayName="Table1" ref="A1:H21" totalsRowShown="0" headerRowDxfId="68" dataDxfId="69" headerRowBorderDxfId="79" tableBorderDxfId="80" totalsRowBorderDxfId="78">
  <autoFilter ref="A1:H21" xr:uid="{B38E1C59-7AC8-40A6-893F-2A3DC0DCE8C0}"/>
  <tableColumns count="8">
    <tableColumn id="1" xr3:uid="{AB88EC28-282A-4264-9413-883F2C60B5E9}" name="Cust_ID" dataDxfId="77"/>
    <tableColumn id="2" xr3:uid="{953091DD-2E7E-4475-95A4-B5A5F6884DF1}" name="Full_Name" dataDxfId="76"/>
    <tableColumn id="3" xr3:uid="{4BD5BE45-7DE6-4860-B572-9B0F33F05D16}" name="ID_Number" dataDxfId="75"/>
    <tableColumn id="4" xr3:uid="{2B3360A8-ABC2-4441-8797-C233767AA613}" name="Gender" dataDxfId="74"/>
    <tableColumn id="5" xr3:uid="{0C3B6651-8CB3-440F-908D-27B3D0FD5C51}" name="County" dataDxfId="73"/>
    <tableColumn id="6" xr3:uid="{E3ACB83A-8740-412D-8F1D-D384CADD61E9}" name="Age" dataDxfId="72"/>
    <tableColumn id="7" xr3:uid="{76679CA7-AF20-434C-8167-F4FC66B66C9F}" name="Occupation" dataDxfId="71"/>
    <tableColumn id="8" xr3:uid="{93A3793D-3D4F-4CF9-8F1F-E3B98003CBA4}" name="Date_Joined" dataDxfId="7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08E8-9E9E-414F-BCAF-98523755F193}">
  <dimension ref="A1:Q21"/>
  <sheetViews>
    <sheetView workbookViewId="0">
      <selection activeCell="D21" sqref="D21"/>
    </sheetView>
  </sheetViews>
  <sheetFormatPr defaultRowHeight="14.5" x14ac:dyDescent="0.35"/>
  <cols>
    <col min="1" max="1" width="9.90625" bestFit="1" customWidth="1"/>
    <col min="2" max="2" width="9.6328125" bestFit="1" customWidth="1"/>
    <col min="3" max="3" width="12.08984375" bestFit="1" customWidth="1"/>
    <col min="4" max="4" width="9.90625" bestFit="1" customWidth="1"/>
    <col min="5" max="5" width="14.54296875" bestFit="1" customWidth="1"/>
    <col min="6" max="6" width="12.36328125" bestFit="1" customWidth="1"/>
    <col min="7" max="7" width="11.453125" bestFit="1" customWidth="1"/>
    <col min="8" max="8" width="9" bestFit="1" customWidth="1"/>
    <col min="9" max="9" width="14.6328125" bestFit="1" customWidth="1"/>
    <col min="10" max="11" width="9.26953125" bestFit="1" customWidth="1"/>
    <col min="12" max="12" width="6.1796875" bestFit="1" customWidth="1"/>
    <col min="13" max="13" width="12.6328125" bestFit="1" customWidth="1"/>
    <col min="14" max="14" width="14.54296875" bestFit="1" customWidth="1"/>
    <col min="15" max="15" width="16.90625" bestFit="1" customWidth="1"/>
    <col min="16" max="16" width="18.36328125" bestFit="1" customWidth="1"/>
    <col min="17" max="17" width="11.6328125" bestFit="1" customWidth="1"/>
  </cols>
  <sheetData>
    <row r="1" spans="1:17" x14ac:dyDescent="0.35">
      <c r="A1" t="s">
        <v>98</v>
      </c>
      <c r="B1" t="s">
        <v>0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</v>
      </c>
      <c r="J1" t="s">
        <v>3</v>
      </c>
      <c r="K1" t="s">
        <v>4</v>
      </c>
      <c r="L1" t="s">
        <v>5</v>
      </c>
      <c r="M1" t="s">
        <v>6</v>
      </c>
      <c r="N1" t="s">
        <v>156</v>
      </c>
      <c r="O1" t="s">
        <v>239</v>
      </c>
      <c r="P1" t="s">
        <v>158</v>
      </c>
      <c r="Q1" t="s">
        <v>159</v>
      </c>
    </row>
    <row r="2" spans="1:17" x14ac:dyDescent="0.35">
      <c r="A2" s="17" t="s">
        <v>105</v>
      </c>
      <c r="B2" s="17" t="s">
        <v>8</v>
      </c>
      <c r="C2" s="17" t="s">
        <v>106</v>
      </c>
      <c r="D2">
        <v>50000</v>
      </c>
      <c r="E2">
        <v>0.14000000000000001</v>
      </c>
      <c r="F2" s="18">
        <v>45292</v>
      </c>
      <c r="G2" s="18">
        <v>45657</v>
      </c>
      <c r="H2" s="17" t="s">
        <v>115</v>
      </c>
      <c r="I2" s="17" t="s">
        <v>214</v>
      </c>
      <c r="J2" s="17" t="s">
        <v>11</v>
      </c>
      <c r="K2" s="17" t="s">
        <v>93</v>
      </c>
      <c r="L2">
        <v>34</v>
      </c>
      <c r="M2" s="17" t="s">
        <v>13</v>
      </c>
      <c r="N2">
        <v>5000</v>
      </c>
      <c r="O2" t="s">
        <v>240</v>
      </c>
      <c r="P2" s="17" t="s">
        <v>166</v>
      </c>
      <c r="Q2">
        <v>0</v>
      </c>
    </row>
    <row r="3" spans="1:17" x14ac:dyDescent="0.35">
      <c r="A3" s="17" t="s">
        <v>109</v>
      </c>
      <c r="B3" s="17" t="s">
        <v>14</v>
      </c>
      <c r="C3" s="17" t="s">
        <v>36</v>
      </c>
      <c r="D3">
        <v>250000</v>
      </c>
      <c r="E3">
        <v>0.12</v>
      </c>
      <c r="F3" s="18">
        <v>44972</v>
      </c>
      <c r="G3" s="18">
        <v>45337</v>
      </c>
      <c r="H3" s="17" t="s">
        <v>115</v>
      </c>
      <c r="I3" s="17" t="s">
        <v>215</v>
      </c>
      <c r="J3" s="17" t="s">
        <v>17</v>
      </c>
      <c r="K3" s="17" t="s">
        <v>216</v>
      </c>
      <c r="L3">
        <v>28</v>
      </c>
      <c r="M3" s="17" t="s">
        <v>19</v>
      </c>
      <c r="N3">
        <v>25000</v>
      </c>
      <c r="O3" t="s">
        <v>240</v>
      </c>
      <c r="P3" s="17" t="s">
        <v>175</v>
      </c>
      <c r="Q3">
        <v>5</v>
      </c>
    </row>
    <row r="4" spans="1:17" x14ac:dyDescent="0.35">
      <c r="A4" s="17" t="s">
        <v>114</v>
      </c>
      <c r="B4" s="17" t="s">
        <v>21</v>
      </c>
      <c r="C4" s="17" t="s">
        <v>106</v>
      </c>
      <c r="D4">
        <v>30000</v>
      </c>
      <c r="E4">
        <v>0.14000000000000001</v>
      </c>
      <c r="F4" s="18">
        <v>45323</v>
      </c>
      <c r="G4" s="18">
        <v>45688</v>
      </c>
      <c r="H4" s="17" t="s">
        <v>115</v>
      </c>
      <c r="I4" s="17" t="s">
        <v>217</v>
      </c>
      <c r="J4" s="17" t="s">
        <v>11</v>
      </c>
      <c r="K4" s="17" t="s">
        <v>218</v>
      </c>
      <c r="L4">
        <v>45</v>
      </c>
      <c r="M4" s="17" t="s">
        <v>25</v>
      </c>
      <c r="N4">
        <v>3000</v>
      </c>
      <c r="O4" t="s">
        <v>240</v>
      </c>
      <c r="P4" s="17" t="s">
        <v>166</v>
      </c>
      <c r="Q4">
        <v>12</v>
      </c>
    </row>
    <row r="5" spans="1:17" x14ac:dyDescent="0.35">
      <c r="A5" s="17" t="s">
        <v>116</v>
      </c>
      <c r="B5" s="17" t="s">
        <v>26</v>
      </c>
      <c r="C5" s="17" t="s">
        <v>117</v>
      </c>
      <c r="D5">
        <v>2500000</v>
      </c>
      <c r="E5">
        <v>0.09</v>
      </c>
      <c r="F5" s="18">
        <v>45017</v>
      </c>
      <c r="G5" s="18">
        <v>48670</v>
      </c>
      <c r="H5" s="17" t="s">
        <v>115</v>
      </c>
      <c r="I5" s="17" t="s">
        <v>219</v>
      </c>
      <c r="J5" s="17" t="s">
        <v>17</v>
      </c>
      <c r="K5" s="17" t="s">
        <v>29</v>
      </c>
      <c r="L5">
        <v>31</v>
      </c>
      <c r="M5" s="17" t="s">
        <v>30</v>
      </c>
      <c r="N5">
        <v>45000</v>
      </c>
      <c r="O5" t="s">
        <v>240</v>
      </c>
      <c r="P5" s="17" t="s">
        <v>175</v>
      </c>
      <c r="Q5">
        <v>0</v>
      </c>
    </row>
    <row r="6" spans="1:17" x14ac:dyDescent="0.35">
      <c r="A6" s="17" t="s">
        <v>121</v>
      </c>
      <c r="B6" s="17" t="s">
        <v>32</v>
      </c>
      <c r="C6" s="17" t="s">
        <v>36</v>
      </c>
      <c r="D6">
        <v>500000</v>
      </c>
      <c r="E6">
        <v>0.12</v>
      </c>
      <c r="F6" s="18">
        <v>45354</v>
      </c>
      <c r="G6" s="18">
        <v>45719</v>
      </c>
      <c r="H6" s="17" t="s">
        <v>213</v>
      </c>
      <c r="I6" s="17" t="s">
        <v>220</v>
      </c>
      <c r="J6" s="17" t="s">
        <v>11</v>
      </c>
      <c r="K6" s="17" t="s">
        <v>93</v>
      </c>
      <c r="L6">
        <v>52</v>
      </c>
      <c r="M6" s="17" t="s">
        <v>36</v>
      </c>
      <c r="N6">
        <v>0</v>
      </c>
      <c r="O6" t="s">
        <v>122</v>
      </c>
      <c r="P6" s="17" t="s">
        <v>241</v>
      </c>
      <c r="Q6">
        <v>90</v>
      </c>
    </row>
    <row r="7" spans="1:17" x14ac:dyDescent="0.35">
      <c r="A7" s="17" t="s">
        <v>123</v>
      </c>
      <c r="B7" s="17" t="s">
        <v>37</v>
      </c>
      <c r="C7" s="17" t="s">
        <v>106</v>
      </c>
      <c r="D7">
        <v>15000</v>
      </c>
      <c r="E7">
        <v>0.14000000000000001</v>
      </c>
      <c r="F7" s="18">
        <v>45066</v>
      </c>
      <c r="G7" s="18">
        <v>45432</v>
      </c>
      <c r="H7" s="17" t="s">
        <v>115</v>
      </c>
      <c r="I7" s="17" t="s">
        <v>221</v>
      </c>
      <c r="J7" s="17" t="s">
        <v>17</v>
      </c>
      <c r="K7" s="17" t="s">
        <v>218</v>
      </c>
      <c r="L7">
        <v>24</v>
      </c>
      <c r="M7" s="17" t="s">
        <v>40</v>
      </c>
      <c r="N7">
        <v>1500</v>
      </c>
      <c r="O7" t="s">
        <v>240</v>
      </c>
      <c r="P7" s="17" t="s">
        <v>166</v>
      </c>
      <c r="Q7">
        <v>3</v>
      </c>
    </row>
    <row r="8" spans="1:17" x14ac:dyDescent="0.35">
      <c r="A8" s="17" t="s">
        <v>126</v>
      </c>
      <c r="B8" s="17" t="s">
        <v>42</v>
      </c>
      <c r="C8" s="17" t="s">
        <v>36</v>
      </c>
      <c r="D8">
        <v>180000</v>
      </c>
      <c r="E8">
        <v>0.12</v>
      </c>
      <c r="F8" s="18">
        <v>45384</v>
      </c>
      <c r="G8" s="18">
        <v>45749</v>
      </c>
      <c r="H8" s="17" t="s">
        <v>115</v>
      </c>
      <c r="I8" s="17" t="s">
        <v>222</v>
      </c>
      <c r="J8" s="17" t="s">
        <v>11</v>
      </c>
      <c r="K8" s="17" t="s">
        <v>223</v>
      </c>
      <c r="L8">
        <v>38</v>
      </c>
      <c r="M8" s="17" t="s">
        <v>25</v>
      </c>
      <c r="N8">
        <v>18000</v>
      </c>
      <c r="O8" t="s">
        <v>240</v>
      </c>
      <c r="P8" s="17" t="s">
        <v>175</v>
      </c>
      <c r="Q8">
        <v>0</v>
      </c>
    </row>
    <row r="9" spans="1:17" x14ac:dyDescent="0.35">
      <c r="A9" s="17" t="s">
        <v>127</v>
      </c>
      <c r="B9" s="17" t="s">
        <v>46</v>
      </c>
      <c r="C9" s="17" t="s">
        <v>117</v>
      </c>
      <c r="D9">
        <v>1800000</v>
      </c>
      <c r="E9">
        <v>0.09</v>
      </c>
      <c r="F9" s="18">
        <v>45117</v>
      </c>
      <c r="G9" s="18">
        <v>48770</v>
      </c>
      <c r="H9" s="17" t="s">
        <v>115</v>
      </c>
      <c r="I9" s="17" t="s">
        <v>224</v>
      </c>
      <c r="J9" s="17" t="s">
        <v>17</v>
      </c>
      <c r="K9" s="17" t="s">
        <v>225</v>
      </c>
      <c r="L9">
        <v>43</v>
      </c>
      <c r="M9" s="17" t="s">
        <v>13</v>
      </c>
      <c r="N9">
        <v>35000</v>
      </c>
      <c r="O9" t="s">
        <v>240</v>
      </c>
      <c r="P9" s="17" t="s">
        <v>175</v>
      </c>
      <c r="Q9">
        <v>0</v>
      </c>
    </row>
    <row r="10" spans="1:17" x14ac:dyDescent="0.35">
      <c r="A10" s="17" t="s">
        <v>130</v>
      </c>
      <c r="B10" s="17" t="s">
        <v>51</v>
      </c>
      <c r="C10" s="17" t="s">
        <v>106</v>
      </c>
      <c r="D10">
        <v>75000</v>
      </c>
      <c r="E10">
        <v>0.14000000000000001</v>
      </c>
      <c r="F10" s="18">
        <v>45415</v>
      </c>
      <c r="G10" s="18">
        <v>45780</v>
      </c>
      <c r="H10" s="17" t="s">
        <v>213</v>
      </c>
      <c r="I10" s="17" t="s">
        <v>226</v>
      </c>
      <c r="J10" s="17" t="s">
        <v>11</v>
      </c>
      <c r="K10" s="17" t="s">
        <v>93</v>
      </c>
      <c r="L10">
        <v>29</v>
      </c>
      <c r="M10" s="17" t="s">
        <v>30</v>
      </c>
      <c r="N10">
        <v>0</v>
      </c>
      <c r="O10" t="s">
        <v>122</v>
      </c>
      <c r="P10" s="17" t="s">
        <v>241</v>
      </c>
      <c r="Q10">
        <v>75</v>
      </c>
    </row>
    <row r="11" spans="1:17" x14ac:dyDescent="0.35">
      <c r="A11" s="17" t="s">
        <v>132</v>
      </c>
      <c r="B11" s="17" t="s">
        <v>54</v>
      </c>
      <c r="C11" s="17" t="s">
        <v>36</v>
      </c>
      <c r="D11">
        <v>320000</v>
      </c>
      <c r="E11">
        <v>0.12</v>
      </c>
      <c r="F11" s="18">
        <v>45170</v>
      </c>
      <c r="G11" s="18">
        <v>45536</v>
      </c>
      <c r="H11" s="17" t="s">
        <v>115</v>
      </c>
      <c r="I11" s="17" t="s">
        <v>227</v>
      </c>
      <c r="J11" s="17" t="s">
        <v>17</v>
      </c>
      <c r="K11" s="17" t="s">
        <v>228</v>
      </c>
      <c r="L11">
        <v>36</v>
      </c>
      <c r="M11" s="17" t="s">
        <v>19</v>
      </c>
      <c r="N11">
        <v>32000</v>
      </c>
      <c r="O11" t="s">
        <v>240</v>
      </c>
      <c r="P11" s="17" t="s">
        <v>166</v>
      </c>
      <c r="Q11">
        <v>8</v>
      </c>
    </row>
    <row r="12" spans="1:17" x14ac:dyDescent="0.35">
      <c r="A12" s="17" t="s">
        <v>135</v>
      </c>
      <c r="B12" s="17" t="s">
        <v>59</v>
      </c>
      <c r="C12" s="17" t="s">
        <v>106</v>
      </c>
      <c r="D12">
        <v>45000</v>
      </c>
      <c r="E12">
        <v>0.14000000000000001</v>
      </c>
      <c r="F12" s="18">
        <v>45446</v>
      </c>
      <c r="G12" s="18">
        <v>45811</v>
      </c>
      <c r="H12" s="17" t="s">
        <v>115</v>
      </c>
      <c r="I12" s="17" t="s">
        <v>229</v>
      </c>
      <c r="J12" s="17" t="s">
        <v>11</v>
      </c>
      <c r="K12" s="17" t="s">
        <v>218</v>
      </c>
      <c r="L12">
        <v>41</v>
      </c>
      <c r="M12" s="17" t="s">
        <v>36</v>
      </c>
      <c r="N12">
        <v>4500</v>
      </c>
      <c r="O12" t="s">
        <v>240</v>
      </c>
      <c r="P12" s="17" t="s">
        <v>166</v>
      </c>
      <c r="Q12">
        <v>0</v>
      </c>
    </row>
    <row r="13" spans="1:17" x14ac:dyDescent="0.35">
      <c r="A13" s="17" t="s">
        <v>136</v>
      </c>
      <c r="B13" s="17" t="s">
        <v>63</v>
      </c>
      <c r="C13" s="17" t="s">
        <v>36</v>
      </c>
      <c r="D13">
        <v>150000</v>
      </c>
      <c r="E13">
        <v>0.12</v>
      </c>
      <c r="F13" s="18">
        <v>45245</v>
      </c>
      <c r="G13" s="18">
        <v>45611</v>
      </c>
      <c r="H13" s="17" t="s">
        <v>115</v>
      </c>
      <c r="I13" s="17" t="s">
        <v>230</v>
      </c>
      <c r="J13" s="17" t="s">
        <v>17</v>
      </c>
      <c r="K13" s="17" t="s">
        <v>223</v>
      </c>
      <c r="L13">
        <v>27</v>
      </c>
      <c r="M13" s="17" t="s">
        <v>13</v>
      </c>
      <c r="N13">
        <v>15000</v>
      </c>
      <c r="O13" t="s">
        <v>240</v>
      </c>
      <c r="P13" s="17" t="s">
        <v>175</v>
      </c>
      <c r="Q13">
        <v>2</v>
      </c>
    </row>
    <row r="14" spans="1:17" x14ac:dyDescent="0.35">
      <c r="A14" s="17" t="s">
        <v>139</v>
      </c>
      <c r="B14" s="17" t="s">
        <v>67</v>
      </c>
      <c r="C14" s="17" t="s">
        <v>117</v>
      </c>
      <c r="D14">
        <v>3200000</v>
      </c>
      <c r="E14">
        <v>0.09</v>
      </c>
      <c r="F14" s="18">
        <v>45476</v>
      </c>
      <c r="G14" s="18">
        <v>45841</v>
      </c>
      <c r="H14" s="17" t="s">
        <v>115</v>
      </c>
      <c r="I14" s="17" t="s">
        <v>231</v>
      </c>
      <c r="J14" s="17" t="s">
        <v>11</v>
      </c>
      <c r="K14" s="17" t="s">
        <v>29</v>
      </c>
      <c r="L14">
        <v>55</v>
      </c>
      <c r="M14" s="17" t="s">
        <v>25</v>
      </c>
      <c r="N14">
        <v>58000</v>
      </c>
      <c r="O14" t="s">
        <v>240</v>
      </c>
      <c r="P14" s="17" t="s">
        <v>175</v>
      </c>
      <c r="Q14">
        <v>0</v>
      </c>
    </row>
    <row r="15" spans="1:17" x14ac:dyDescent="0.35">
      <c r="A15" s="17" t="s">
        <v>140</v>
      </c>
      <c r="B15" s="17" t="s">
        <v>70</v>
      </c>
      <c r="C15" s="17" t="s">
        <v>106</v>
      </c>
      <c r="D15">
        <v>60000</v>
      </c>
      <c r="E15">
        <v>0.14000000000000001</v>
      </c>
      <c r="F15" s="18">
        <v>45311</v>
      </c>
      <c r="G15" s="18">
        <v>45677</v>
      </c>
      <c r="H15" s="17" t="s">
        <v>213</v>
      </c>
      <c r="I15" s="17" t="s">
        <v>232</v>
      </c>
      <c r="J15" s="17" t="s">
        <v>17</v>
      </c>
      <c r="K15" s="17" t="s">
        <v>216</v>
      </c>
      <c r="L15">
        <v>32</v>
      </c>
      <c r="M15" s="17" t="s">
        <v>19</v>
      </c>
      <c r="N15">
        <v>0</v>
      </c>
      <c r="O15" t="s">
        <v>122</v>
      </c>
      <c r="P15" s="17" t="s">
        <v>241</v>
      </c>
      <c r="Q15">
        <v>85</v>
      </c>
    </row>
    <row r="16" spans="1:17" x14ac:dyDescent="0.35">
      <c r="A16" s="17" t="s">
        <v>143</v>
      </c>
      <c r="B16" s="17" t="s">
        <v>74</v>
      </c>
      <c r="C16" s="17" t="s">
        <v>36</v>
      </c>
      <c r="D16">
        <v>420000</v>
      </c>
      <c r="E16">
        <v>0.12</v>
      </c>
      <c r="F16" s="18">
        <v>45507</v>
      </c>
      <c r="G16" s="18">
        <v>45872</v>
      </c>
      <c r="H16" s="17" t="s">
        <v>115</v>
      </c>
      <c r="I16" s="17" t="s">
        <v>233</v>
      </c>
      <c r="J16" s="17" t="s">
        <v>11</v>
      </c>
      <c r="K16" s="17" t="s">
        <v>93</v>
      </c>
      <c r="L16">
        <v>47</v>
      </c>
      <c r="M16" s="17" t="s">
        <v>30</v>
      </c>
      <c r="N16">
        <v>42000</v>
      </c>
      <c r="O16" t="s">
        <v>240</v>
      </c>
      <c r="P16" s="17" t="s">
        <v>166</v>
      </c>
      <c r="Q16">
        <v>0</v>
      </c>
    </row>
    <row r="17" spans="1:17" x14ac:dyDescent="0.35">
      <c r="A17" s="17" t="s">
        <v>144</v>
      </c>
      <c r="B17" s="17" t="s">
        <v>77</v>
      </c>
      <c r="C17" s="17" t="s">
        <v>106</v>
      </c>
      <c r="D17">
        <v>25000</v>
      </c>
      <c r="E17">
        <v>0.14000000000000001</v>
      </c>
      <c r="F17" s="18">
        <v>45361</v>
      </c>
      <c r="G17" s="18">
        <v>45726</v>
      </c>
      <c r="H17" s="17" t="s">
        <v>115</v>
      </c>
      <c r="I17" s="17" t="s">
        <v>234</v>
      </c>
      <c r="J17" s="17" t="s">
        <v>17</v>
      </c>
      <c r="K17" s="17" t="s">
        <v>29</v>
      </c>
      <c r="L17">
        <v>23</v>
      </c>
      <c r="M17" s="17" t="s">
        <v>40</v>
      </c>
      <c r="N17">
        <v>2500</v>
      </c>
      <c r="O17" t="s">
        <v>240</v>
      </c>
      <c r="P17" s="17" t="s">
        <v>166</v>
      </c>
      <c r="Q17">
        <v>6</v>
      </c>
    </row>
    <row r="18" spans="1:17" x14ac:dyDescent="0.35">
      <c r="A18" s="17" t="s">
        <v>147</v>
      </c>
      <c r="B18" s="17" t="s">
        <v>82</v>
      </c>
      <c r="C18" s="17" t="s">
        <v>36</v>
      </c>
      <c r="D18">
        <v>280000</v>
      </c>
      <c r="E18">
        <v>0.12</v>
      </c>
      <c r="F18" s="18">
        <v>45538</v>
      </c>
      <c r="G18" s="18">
        <v>45903</v>
      </c>
      <c r="H18" s="17" t="s">
        <v>115</v>
      </c>
      <c r="I18" s="17" t="s">
        <v>235</v>
      </c>
      <c r="J18" s="17" t="s">
        <v>11</v>
      </c>
      <c r="K18" s="17" t="s">
        <v>225</v>
      </c>
      <c r="L18">
        <v>39</v>
      </c>
      <c r="M18" s="17" t="s">
        <v>36</v>
      </c>
      <c r="N18">
        <v>28000</v>
      </c>
      <c r="O18" t="s">
        <v>240</v>
      </c>
      <c r="P18" s="17" t="s">
        <v>175</v>
      </c>
      <c r="Q18">
        <v>0</v>
      </c>
    </row>
    <row r="19" spans="1:17" x14ac:dyDescent="0.35">
      <c r="A19" s="17" t="s">
        <v>148</v>
      </c>
      <c r="B19" s="17" t="s">
        <v>86</v>
      </c>
      <c r="C19" s="17" t="s">
        <v>117</v>
      </c>
      <c r="D19">
        <v>2100000</v>
      </c>
      <c r="E19">
        <v>0.09</v>
      </c>
      <c r="F19" s="18">
        <v>45413</v>
      </c>
      <c r="G19" s="18">
        <v>49065</v>
      </c>
      <c r="H19" s="17" t="s">
        <v>115</v>
      </c>
      <c r="I19" s="17" t="s">
        <v>236</v>
      </c>
      <c r="J19" s="17" t="s">
        <v>17</v>
      </c>
      <c r="K19" s="17" t="s">
        <v>218</v>
      </c>
      <c r="L19">
        <v>44</v>
      </c>
      <c r="M19" s="17" t="s">
        <v>13</v>
      </c>
      <c r="N19">
        <v>38000</v>
      </c>
      <c r="O19" t="s">
        <v>240</v>
      </c>
      <c r="P19" s="17" t="s">
        <v>175</v>
      </c>
      <c r="Q19">
        <v>0</v>
      </c>
    </row>
    <row r="20" spans="1:17" x14ac:dyDescent="0.35">
      <c r="A20" s="17" t="s">
        <v>151</v>
      </c>
      <c r="B20" s="17" t="s">
        <v>90</v>
      </c>
      <c r="C20" s="17" t="s">
        <v>106</v>
      </c>
      <c r="D20">
        <v>90000</v>
      </c>
      <c r="E20">
        <v>0.14000000000000001</v>
      </c>
      <c r="F20" s="18">
        <v>45568</v>
      </c>
      <c r="G20" s="18">
        <v>45933</v>
      </c>
      <c r="H20" s="17" t="s">
        <v>213</v>
      </c>
      <c r="I20" s="17" t="s">
        <v>237</v>
      </c>
      <c r="J20" s="17" t="s">
        <v>11</v>
      </c>
      <c r="K20" s="17" t="s">
        <v>93</v>
      </c>
      <c r="L20">
        <v>33</v>
      </c>
      <c r="M20" s="17" t="s">
        <v>30</v>
      </c>
      <c r="N20">
        <v>0</v>
      </c>
      <c r="O20" t="s">
        <v>122</v>
      </c>
      <c r="P20" s="17" t="s">
        <v>241</v>
      </c>
      <c r="Q20">
        <v>92</v>
      </c>
    </row>
    <row r="21" spans="1:17" x14ac:dyDescent="0.35">
      <c r="A21" s="17" t="s">
        <v>152</v>
      </c>
      <c r="B21" s="17" t="s">
        <v>94</v>
      </c>
      <c r="C21" s="17" t="s">
        <v>36</v>
      </c>
      <c r="D21">
        <v>195000</v>
      </c>
      <c r="E21">
        <v>0.12</v>
      </c>
      <c r="F21" s="18">
        <v>45488</v>
      </c>
      <c r="G21" s="18">
        <v>45853</v>
      </c>
      <c r="H21" s="17" t="s">
        <v>115</v>
      </c>
      <c r="I21" s="17" t="s">
        <v>238</v>
      </c>
      <c r="J21" s="17" t="s">
        <v>17</v>
      </c>
      <c r="K21" s="17" t="s">
        <v>223</v>
      </c>
      <c r="L21">
        <v>26</v>
      </c>
      <c r="M21" s="17" t="s">
        <v>19</v>
      </c>
      <c r="N21">
        <v>19500</v>
      </c>
      <c r="O21" t="s">
        <v>240</v>
      </c>
      <c r="P21" s="17" t="s">
        <v>166</v>
      </c>
      <c r="Q2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EF30-B376-4C29-BCDB-F444F78FE0AA}">
  <dimension ref="A1:I26"/>
  <sheetViews>
    <sheetView workbookViewId="0">
      <selection activeCell="B22" sqref="B22"/>
    </sheetView>
  </sheetViews>
  <sheetFormatPr defaultRowHeight="14.5" x14ac:dyDescent="0.35"/>
  <cols>
    <col min="1" max="1" width="15.453125" bestFit="1" customWidth="1"/>
    <col min="2" max="2" width="19.08984375" customWidth="1"/>
    <col min="3" max="3" width="9.08984375" bestFit="1" customWidth="1"/>
    <col min="4" max="4" width="10.7265625" bestFit="1" customWidth="1"/>
    <col min="5" max="5" width="10.7265625" customWidth="1"/>
    <col min="6" max="6" width="12.36328125" bestFit="1" customWidth="1"/>
    <col min="7" max="7" width="19" customWidth="1"/>
    <col min="8" max="8" width="15.26953125" customWidth="1"/>
    <col min="9" max="9" width="15.453125" bestFit="1" customWidth="1"/>
  </cols>
  <sheetData>
    <row r="1" spans="1:9" ht="18.5" x14ac:dyDescent="0.45">
      <c r="A1" s="63" t="s">
        <v>272</v>
      </c>
      <c r="B1" s="62"/>
      <c r="C1" s="62"/>
      <c r="D1" s="62"/>
      <c r="E1" s="62"/>
      <c r="F1" s="62"/>
      <c r="G1" s="62"/>
      <c r="H1" s="62"/>
      <c r="I1" s="62"/>
    </row>
    <row r="2" spans="1:9" ht="16" thickBot="1" x14ac:dyDescent="0.4">
      <c r="A2" s="56" t="s">
        <v>268</v>
      </c>
      <c r="B2" s="54"/>
      <c r="C2" s="54"/>
      <c r="D2" s="54"/>
      <c r="F2" s="58" t="s">
        <v>269</v>
      </c>
      <c r="G2" s="55"/>
      <c r="H2" s="55"/>
    </row>
    <row r="3" spans="1:9" ht="15" thickBot="1" x14ac:dyDescent="0.4">
      <c r="A3" s="36" t="s">
        <v>245</v>
      </c>
      <c r="B3" s="37" t="s">
        <v>244</v>
      </c>
      <c r="C3" s="38"/>
      <c r="D3" s="39"/>
      <c r="F3" s="49" t="s">
        <v>104</v>
      </c>
      <c r="G3" s="50" t="s">
        <v>247</v>
      </c>
    </row>
    <row r="4" spans="1:9" ht="15" thickBot="1" x14ac:dyDescent="0.4">
      <c r="A4" s="40" t="s">
        <v>242</v>
      </c>
      <c r="B4" s="31" t="s">
        <v>115</v>
      </c>
      <c r="C4" s="31" t="s">
        <v>213</v>
      </c>
      <c r="D4" s="41" t="s">
        <v>243</v>
      </c>
      <c r="F4" s="48"/>
      <c r="G4" s="41"/>
    </row>
    <row r="5" spans="1:9" ht="15" thickBot="1" x14ac:dyDescent="0.4">
      <c r="A5" s="42" t="s">
        <v>223</v>
      </c>
      <c r="B5" s="43">
        <v>3</v>
      </c>
      <c r="C5" s="43"/>
      <c r="D5" s="44">
        <v>3</v>
      </c>
      <c r="E5" s="17"/>
      <c r="F5" s="51" t="s">
        <v>242</v>
      </c>
      <c r="G5" s="53" t="s">
        <v>246</v>
      </c>
    </row>
    <row r="6" spans="1:9" ht="15" thickBot="1" x14ac:dyDescent="0.4">
      <c r="A6" s="42" t="s">
        <v>218</v>
      </c>
      <c r="B6" s="43">
        <v>4</v>
      </c>
      <c r="C6" s="43"/>
      <c r="D6" s="44">
        <v>4</v>
      </c>
      <c r="E6" s="17"/>
      <c r="F6" s="52" t="s">
        <v>36</v>
      </c>
      <c r="G6" s="59">
        <v>2295000</v>
      </c>
    </row>
    <row r="7" spans="1:9" ht="15" thickBot="1" x14ac:dyDescent="0.4">
      <c r="A7" s="42" t="s">
        <v>225</v>
      </c>
      <c r="B7" s="43">
        <v>2</v>
      </c>
      <c r="C7" s="43"/>
      <c r="D7" s="44">
        <v>2</v>
      </c>
      <c r="E7" s="17"/>
      <c r="F7" s="42" t="s">
        <v>117</v>
      </c>
      <c r="G7" s="60">
        <v>9600000</v>
      </c>
    </row>
    <row r="8" spans="1:9" ht="15" thickBot="1" x14ac:dyDescent="0.4">
      <c r="A8" s="42" t="s">
        <v>216</v>
      </c>
      <c r="B8" s="43">
        <v>1</v>
      </c>
      <c r="C8" s="43">
        <v>1</v>
      </c>
      <c r="D8" s="44">
        <v>2</v>
      </c>
      <c r="E8" s="17"/>
      <c r="F8" s="52" t="s">
        <v>106</v>
      </c>
      <c r="G8" s="60">
        <v>390000</v>
      </c>
    </row>
    <row r="9" spans="1:9" ht="15" thickBot="1" x14ac:dyDescent="0.4">
      <c r="A9" s="42" t="s">
        <v>93</v>
      </c>
      <c r="B9" s="43">
        <v>2</v>
      </c>
      <c r="C9" s="43">
        <v>3</v>
      </c>
      <c r="D9" s="44">
        <v>5</v>
      </c>
      <c r="E9" s="17"/>
      <c r="F9" s="52" t="s">
        <v>243</v>
      </c>
      <c r="G9" s="61">
        <v>12285000</v>
      </c>
    </row>
    <row r="10" spans="1:9" x14ac:dyDescent="0.35">
      <c r="A10" s="42" t="s">
        <v>29</v>
      </c>
      <c r="B10" s="43">
        <v>3</v>
      </c>
      <c r="C10" s="43"/>
      <c r="D10" s="44">
        <v>3</v>
      </c>
      <c r="E10" s="17"/>
    </row>
    <row r="11" spans="1:9" x14ac:dyDescent="0.35">
      <c r="A11" s="42" t="s">
        <v>228</v>
      </c>
      <c r="B11" s="43">
        <v>1</v>
      </c>
      <c r="C11" s="43"/>
      <c r="D11" s="44">
        <v>1</v>
      </c>
      <c r="E11" s="17"/>
    </row>
    <row r="12" spans="1:9" ht="15" thickBot="1" x14ac:dyDescent="0.4">
      <c r="A12" s="45" t="s">
        <v>243</v>
      </c>
      <c r="B12" s="46">
        <v>16</v>
      </c>
      <c r="C12" s="46">
        <v>4</v>
      </c>
      <c r="D12" s="47">
        <v>20</v>
      </c>
      <c r="E12" s="17"/>
    </row>
    <row r="15" spans="1:9" ht="16" thickBot="1" x14ac:dyDescent="0.4">
      <c r="A15" s="57" t="s">
        <v>270</v>
      </c>
      <c r="B15" s="19"/>
      <c r="C15" s="19"/>
    </row>
    <row r="16" spans="1:9" x14ac:dyDescent="0.35">
      <c r="A16" s="36" t="s">
        <v>104</v>
      </c>
      <c r="B16" s="39" t="s">
        <v>247</v>
      </c>
    </row>
    <row r="17" spans="1:9" ht="16" thickBot="1" x14ac:dyDescent="0.4">
      <c r="A17" s="48"/>
      <c r="B17" s="41"/>
      <c r="F17" s="56" t="s">
        <v>271</v>
      </c>
      <c r="G17" s="54"/>
      <c r="H17" s="54"/>
      <c r="I17" s="54"/>
    </row>
    <row r="18" spans="1:9" x14ac:dyDescent="0.35">
      <c r="A18" s="40" t="s">
        <v>242</v>
      </c>
      <c r="B18" s="41" t="s">
        <v>248</v>
      </c>
      <c r="F18" s="36" t="s">
        <v>242</v>
      </c>
      <c r="G18" s="38" t="s">
        <v>249</v>
      </c>
      <c r="H18" s="38" t="s">
        <v>246</v>
      </c>
      <c r="I18" s="39" t="s">
        <v>245</v>
      </c>
    </row>
    <row r="19" spans="1:9" x14ac:dyDescent="0.35">
      <c r="A19" s="42" t="s">
        <v>223</v>
      </c>
      <c r="B19" s="44">
        <v>2</v>
      </c>
      <c r="F19" s="42" t="s">
        <v>17</v>
      </c>
      <c r="G19" s="43">
        <v>741500</v>
      </c>
      <c r="H19" s="43">
        <v>7415000</v>
      </c>
      <c r="I19" s="44">
        <v>10</v>
      </c>
    </row>
    <row r="20" spans="1:9" x14ac:dyDescent="0.35">
      <c r="A20" s="42" t="s">
        <v>218</v>
      </c>
      <c r="B20" s="44">
        <v>3.75</v>
      </c>
      <c r="F20" s="42" t="s">
        <v>11</v>
      </c>
      <c r="G20" s="43">
        <v>487000</v>
      </c>
      <c r="H20" s="43">
        <v>4870000</v>
      </c>
      <c r="I20" s="44">
        <v>10</v>
      </c>
    </row>
    <row r="21" spans="1:9" ht="15" thickBot="1" x14ac:dyDescent="0.4">
      <c r="A21" s="42" t="s">
        <v>225</v>
      </c>
      <c r="B21" s="44">
        <v>0</v>
      </c>
      <c r="F21" s="45" t="s">
        <v>243</v>
      </c>
      <c r="G21" s="46">
        <v>614250</v>
      </c>
      <c r="H21" s="46">
        <v>12285000</v>
      </c>
      <c r="I21" s="47">
        <v>20</v>
      </c>
    </row>
    <row r="22" spans="1:9" x14ac:dyDescent="0.35">
      <c r="A22" s="42" t="s">
        <v>216</v>
      </c>
      <c r="B22" s="44">
        <v>45</v>
      </c>
    </row>
    <row r="23" spans="1:9" x14ac:dyDescent="0.35">
      <c r="A23" s="42" t="s">
        <v>93</v>
      </c>
      <c r="B23" s="44">
        <v>51.4</v>
      </c>
    </row>
    <row r="24" spans="1:9" x14ac:dyDescent="0.35">
      <c r="A24" s="42" t="s">
        <v>29</v>
      </c>
      <c r="B24" s="44">
        <v>2</v>
      </c>
    </row>
    <row r="25" spans="1:9" x14ac:dyDescent="0.35">
      <c r="A25" s="42" t="s">
        <v>228</v>
      </c>
      <c r="B25" s="44">
        <v>8</v>
      </c>
    </row>
    <row r="26" spans="1:9" ht="15" thickBot="1" x14ac:dyDescent="0.4">
      <c r="A26" s="45" t="s">
        <v>243</v>
      </c>
      <c r="B26" s="47">
        <v>19.100000000000001</v>
      </c>
    </row>
  </sheetData>
  <mergeCells count="5">
    <mergeCell ref="F2:H2"/>
    <mergeCell ref="A2:D2"/>
    <mergeCell ref="A15:C15"/>
    <mergeCell ref="F17:I17"/>
    <mergeCell ref="A1:I1"/>
  </mergeCells>
  <conditionalFormatting pivot="1" sqref="C9">
    <cfRule type="cellIs" dxfId="4" priority="3" operator="greaterThan">
      <formula>0</formula>
    </cfRule>
  </conditionalFormatting>
  <conditionalFormatting pivot="1" sqref="B23">
    <cfRule type="cellIs" dxfId="3" priority="2" operator="greaterThan">
      <formula>30</formula>
    </cfRule>
  </conditionalFormatting>
  <conditionalFormatting pivot="1" sqref="B22">
    <cfRule type="cellIs" dxfId="0" priority="1" operator="greaterThan">
      <formula>30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8A93-4457-44BA-B754-73D1DFF0D98D}">
  <dimension ref="B1:I12"/>
  <sheetViews>
    <sheetView showGridLines="0" tabSelected="1" topLeftCell="A2" workbookViewId="0">
      <selection activeCell="E5" sqref="E5"/>
    </sheetView>
  </sheetViews>
  <sheetFormatPr defaultColWidth="14.453125" defaultRowHeight="14.5" x14ac:dyDescent="0.35"/>
  <sheetData>
    <row r="1" spans="2:9" s="32" customFormat="1" ht="21" x14ac:dyDescent="0.5">
      <c r="B1" s="33" t="s">
        <v>257</v>
      </c>
      <c r="C1" s="33"/>
      <c r="D1" s="33"/>
      <c r="E1" s="33"/>
      <c r="F1" s="33"/>
      <c r="G1" s="33"/>
      <c r="H1" s="33"/>
      <c r="I1" s="33"/>
    </row>
    <row r="2" spans="2:9" s="20" customFormat="1" ht="13" x14ac:dyDescent="0.35">
      <c r="B2" s="21" t="s">
        <v>250</v>
      </c>
      <c r="C2" s="21"/>
      <c r="D2" s="21" t="s">
        <v>251</v>
      </c>
      <c r="E2" s="21"/>
      <c r="F2" s="21" t="s">
        <v>252</v>
      </c>
      <c r="G2" s="21"/>
      <c r="H2" s="21" t="s">
        <v>253</v>
      </c>
      <c r="I2" s="21"/>
    </row>
    <row r="3" spans="2:9" ht="26" x14ac:dyDescent="0.35">
      <c r="B3" s="23">
        <f>SUM(Master_Portfolio[Amount])</f>
        <v>12285000</v>
      </c>
      <c r="C3" s="23"/>
      <c r="D3" s="22">
        <f>COUNTIF(Master_Portfolio[Status],"Defaulted")</f>
        <v>4</v>
      </c>
      <c r="E3" s="22"/>
      <c r="F3" s="22" t="str">
        <f>ROUND(COUNTIF(Master_Portfolio[Status],"Defaulted")/COUNTA(Master_Portfolio[Status])*100,1)&amp;"%"</f>
        <v>20%</v>
      </c>
      <c r="G3" s="22"/>
      <c r="H3" s="22">
        <f>ROUND(AVERAGE(Master_Portfolio[Days_Late]),1)</f>
        <v>19.100000000000001</v>
      </c>
      <c r="I3" s="22"/>
    </row>
    <row r="4" spans="2:9" ht="15" thickBot="1" x14ac:dyDescent="0.4"/>
    <row r="5" spans="2:9" s="24" customFormat="1" x14ac:dyDescent="0.35">
      <c r="B5" s="29" t="s">
        <v>4</v>
      </c>
      <c r="C5" s="30" t="s">
        <v>254</v>
      </c>
      <c r="E5" s="29" t="s">
        <v>255</v>
      </c>
      <c r="F5" s="30" t="s">
        <v>256</v>
      </c>
    </row>
    <row r="6" spans="2:9" x14ac:dyDescent="0.35">
      <c r="B6" s="25" t="s">
        <v>93</v>
      </c>
      <c r="C6" s="26">
        <f>COUNTIFS(Master_Portfolio[County],"Nairobi",Master_Portfolio[Status],"Defaulted")</f>
        <v>3</v>
      </c>
      <c r="E6" s="25" t="s">
        <v>106</v>
      </c>
      <c r="F6" s="26">
        <f>SUMIF(Master_Portfolio[Loan_Type],"Personal",Master_Portfolio[Amount])</f>
        <v>390000</v>
      </c>
    </row>
    <row r="7" spans="2:9" x14ac:dyDescent="0.35">
      <c r="B7" s="25" t="s">
        <v>216</v>
      </c>
      <c r="C7" s="26">
        <f>COUNTIFS(Master_Portfolio[County],"Mombasa",Master_Portfolio[Status],"Defaulted")</f>
        <v>1</v>
      </c>
      <c r="E7" s="25" t="s">
        <v>36</v>
      </c>
      <c r="F7" s="26">
        <f>SUMIF(Master_Portfolio[Loan_Type],"Business",Master_Portfolio[Amount])</f>
        <v>2295000</v>
      </c>
    </row>
    <row r="8" spans="2:9" ht="15" thickBot="1" x14ac:dyDescent="0.4">
      <c r="B8" s="25" t="s">
        <v>218</v>
      </c>
      <c r="C8" s="26">
        <f>COUNTIFS(Master_Portfolio[County],"Kisumu",Master_Portfolio[Status],"Defaulted")</f>
        <v>0</v>
      </c>
      <c r="E8" s="27" t="s">
        <v>117</v>
      </c>
      <c r="F8" s="28">
        <f>SUMIF(Master_Portfolio[Loan_Type],"Mortgage",Master_Portfolio[Amount])</f>
        <v>9600000</v>
      </c>
    </row>
    <row r="9" spans="2:9" x14ac:dyDescent="0.35">
      <c r="B9" s="25" t="s">
        <v>29</v>
      </c>
      <c r="C9" s="26">
        <f>COUNTIFS(Master_Portfolio[County],"Nakuru",Master_Portfolio[Status],"Defaulted")</f>
        <v>0</v>
      </c>
      <c r="E9" s="31"/>
      <c r="F9" s="31"/>
    </row>
    <row r="10" spans="2:9" x14ac:dyDescent="0.35">
      <c r="B10" s="25" t="s">
        <v>223</v>
      </c>
      <c r="C10" s="26">
        <f>COUNTIFS(Master_Portfolio[County],"Eldoret",Master_Portfolio[Status],"Defaulted")</f>
        <v>0</v>
      </c>
    </row>
    <row r="11" spans="2:9" x14ac:dyDescent="0.35">
      <c r="B11" s="25" t="s">
        <v>225</v>
      </c>
      <c r="C11" s="26">
        <f>COUNTIFS(Master_Portfolio[County],"Machakos",Master_Portfolio[Status],"Defaulted")</f>
        <v>0</v>
      </c>
    </row>
    <row r="12" spans="2:9" ht="15" thickBot="1" x14ac:dyDescent="0.4">
      <c r="B12" s="27" t="s">
        <v>228</v>
      </c>
      <c r="C12" s="28">
        <f>COUNTIFS(Master_Portfolio[County],"Nyeri",Master_Portfolio[Status],"Defaulted")</f>
        <v>0</v>
      </c>
    </row>
  </sheetData>
  <mergeCells count="9">
    <mergeCell ref="F2:G2"/>
    <mergeCell ref="F3:G3"/>
    <mergeCell ref="H2:I2"/>
    <mergeCell ref="H3:I3"/>
    <mergeCell ref="B1:I1"/>
    <mergeCell ref="B2:C2"/>
    <mergeCell ref="B3:C3"/>
    <mergeCell ref="D2:E2"/>
    <mergeCell ref="D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48A2-1522-41B3-933E-17DB2A449C49}">
  <dimension ref="A1:H21"/>
  <sheetViews>
    <sheetView workbookViewId="0">
      <selection activeCell="E7" sqref="E7"/>
    </sheetView>
  </sheetViews>
  <sheetFormatPr defaultRowHeight="14.5" x14ac:dyDescent="0.35"/>
  <cols>
    <col min="1" max="1" width="11" bestFit="1" customWidth="1"/>
    <col min="2" max="2" width="9.90625" bestFit="1" customWidth="1"/>
    <col min="3" max="3" width="9.6328125" bestFit="1" customWidth="1"/>
    <col min="4" max="4" width="14.54296875" bestFit="1" customWidth="1"/>
    <col min="5" max="5" width="16.90625" bestFit="1" customWidth="1"/>
    <col min="6" max="6" width="15.6328125" bestFit="1" customWidth="1"/>
    <col min="7" max="7" width="18.36328125" bestFit="1" customWidth="1"/>
    <col min="8" max="8" width="11.6328125" bestFit="1" customWidth="1"/>
  </cols>
  <sheetData>
    <row r="1" spans="1:8" x14ac:dyDescent="0.35">
      <c r="A1" t="s">
        <v>155</v>
      </c>
      <c r="B1" t="s">
        <v>98</v>
      </c>
      <c r="C1" t="s">
        <v>0</v>
      </c>
      <c r="D1" t="s">
        <v>156</v>
      </c>
      <c r="E1" t="s">
        <v>239</v>
      </c>
      <c r="F1" t="s">
        <v>157</v>
      </c>
      <c r="G1" t="s">
        <v>158</v>
      </c>
      <c r="H1" t="s">
        <v>159</v>
      </c>
    </row>
    <row r="2" spans="1:8" x14ac:dyDescent="0.35">
      <c r="A2" s="17" t="s">
        <v>160</v>
      </c>
      <c r="B2" s="17" t="s">
        <v>105</v>
      </c>
      <c r="C2" s="17" t="s">
        <v>8</v>
      </c>
      <c r="D2">
        <v>5000</v>
      </c>
      <c r="E2" t="s">
        <v>240</v>
      </c>
      <c r="F2" s="18">
        <v>45322</v>
      </c>
      <c r="G2" s="17" t="s">
        <v>166</v>
      </c>
      <c r="H2">
        <v>0</v>
      </c>
    </row>
    <row r="3" spans="1:8" x14ac:dyDescent="0.35">
      <c r="A3" s="17" t="s">
        <v>162</v>
      </c>
      <c r="B3" s="17" t="s">
        <v>109</v>
      </c>
      <c r="C3" s="17" t="s">
        <v>14</v>
      </c>
      <c r="D3">
        <v>25000</v>
      </c>
      <c r="E3" t="s">
        <v>240</v>
      </c>
      <c r="F3" s="18">
        <v>45000</v>
      </c>
      <c r="G3" s="17" t="s">
        <v>175</v>
      </c>
      <c r="H3">
        <v>5</v>
      </c>
    </row>
    <row r="4" spans="1:8" x14ac:dyDescent="0.35">
      <c r="A4" s="17" t="s">
        <v>165</v>
      </c>
      <c r="B4" s="17" t="s">
        <v>114</v>
      </c>
      <c r="C4" s="17" t="s">
        <v>21</v>
      </c>
      <c r="D4">
        <v>3000</v>
      </c>
      <c r="E4" t="s">
        <v>240</v>
      </c>
      <c r="F4" s="18">
        <v>45353</v>
      </c>
      <c r="G4" s="17" t="s">
        <v>166</v>
      </c>
      <c r="H4">
        <v>12</v>
      </c>
    </row>
    <row r="5" spans="1:8" x14ac:dyDescent="0.35">
      <c r="A5" s="17" t="s">
        <v>167</v>
      </c>
      <c r="B5" s="17" t="s">
        <v>116</v>
      </c>
      <c r="C5" s="17" t="s">
        <v>26</v>
      </c>
      <c r="D5">
        <v>45000</v>
      </c>
      <c r="E5" t="s">
        <v>240</v>
      </c>
      <c r="F5" s="18">
        <v>45047</v>
      </c>
      <c r="G5" s="17" t="s">
        <v>175</v>
      </c>
      <c r="H5">
        <v>0</v>
      </c>
    </row>
    <row r="6" spans="1:8" x14ac:dyDescent="0.35">
      <c r="A6" s="17" t="s">
        <v>170</v>
      </c>
      <c r="B6" s="17" t="s">
        <v>121</v>
      </c>
      <c r="C6" s="17" t="s">
        <v>32</v>
      </c>
      <c r="D6">
        <v>0</v>
      </c>
      <c r="E6" t="s">
        <v>122</v>
      </c>
      <c r="F6" s="18">
        <v>45384</v>
      </c>
      <c r="G6" s="17" t="s">
        <v>241</v>
      </c>
      <c r="H6">
        <v>90</v>
      </c>
    </row>
    <row r="7" spans="1:8" x14ac:dyDescent="0.35">
      <c r="A7" s="17" t="s">
        <v>172</v>
      </c>
      <c r="B7" s="17" t="s">
        <v>123</v>
      </c>
      <c r="C7" s="17" t="s">
        <v>37</v>
      </c>
      <c r="D7">
        <v>1500</v>
      </c>
      <c r="E7" t="s">
        <v>240</v>
      </c>
      <c r="F7" s="18">
        <v>45097</v>
      </c>
      <c r="G7" s="17" t="s">
        <v>166</v>
      </c>
      <c r="H7">
        <v>3</v>
      </c>
    </row>
    <row r="8" spans="1:8" x14ac:dyDescent="0.35">
      <c r="A8" s="17" t="s">
        <v>174</v>
      </c>
      <c r="B8" s="17" t="s">
        <v>126</v>
      </c>
      <c r="C8" s="17" t="s">
        <v>42</v>
      </c>
      <c r="D8">
        <v>18000</v>
      </c>
      <c r="E8" t="s">
        <v>240</v>
      </c>
      <c r="F8" s="18">
        <v>45415</v>
      </c>
      <c r="G8" s="17" t="s">
        <v>175</v>
      </c>
      <c r="H8">
        <v>0</v>
      </c>
    </row>
    <row r="9" spans="1:8" x14ac:dyDescent="0.35">
      <c r="A9" s="17" t="s">
        <v>176</v>
      </c>
      <c r="B9" s="17" t="s">
        <v>127</v>
      </c>
      <c r="C9" s="17" t="s">
        <v>46</v>
      </c>
      <c r="D9">
        <v>35000</v>
      </c>
      <c r="E9" t="s">
        <v>240</v>
      </c>
      <c r="F9" s="18">
        <v>45148</v>
      </c>
      <c r="G9" s="17" t="s">
        <v>175</v>
      </c>
      <c r="H9">
        <v>0</v>
      </c>
    </row>
    <row r="10" spans="1:8" x14ac:dyDescent="0.35">
      <c r="A10" s="17" t="s">
        <v>178</v>
      </c>
      <c r="B10" s="17" t="s">
        <v>130</v>
      </c>
      <c r="C10" s="17" t="s">
        <v>51</v>
      </c>
      <c r="D10">
        <v>0</v>
      </c>
      <c r="E10" t="s">
        <v>122</v>
      </c>
      <c r="F10" s="18">
        <v>45446</v>
      </c>
      <c r="G10" s="17" t="s">
        <v>241</v>
      </c>
      <c r="H10">
        <v>75</v>
      </c>
    </row>
    <row r="11" spans="1:8" x14ac:dyDescent="0.35">
      <c r="A11" s="17" t="s">
        <v>179</v>
      </c>
      <c r="B11" s="17" t="s">
        <v>132</v>
      </c>
      <c r="C11" s="17" t="s">
        <v>54</v>
      </c>
      <c r="D11">
        <v>32000</v>
      </c>
      <c r="E11" t="s">
        <v>240</v>
      </c>
      <c r="F11" s="18">
        <v>45200</v>
      </c>
      <c r="G11" s="17" t="s">
        <v>166</v>
      </c>
      <c r="H11">
        <v>8</v>
      </c>
    </row>
    <row r="12" spans="1:8" x14ac:dyDescent="0.35">
      <c r="A12" s="17" t="s">
        <v>181</v>
      </c>
      <c r="B12" s="17" t="s">
        <v>135</v>
      </c>
      <c r="C12" s="17" t="s">
        <v>59</v>
      </c>
      <c r="D12">
        <v>4500</v>
      </c>
      <c r="E12" t="s">
        <v>240</v>
      </c>
      <c r="F12" s="18">
        <v>45476</v>
      </c>
      <c r="G12" s="17" t="s">
        <v>166</v>
      </c>
      <c r="H12">
        <v>0</v>
      </c>
    </row>
    <row r="13" spans="1:8" x14ac:dyDescent="0.35">
      <c r="A13" s="17" t="s">
        <v>182</v>
      </c>
      <c r="B13" s="17" t="s">
        <v>136</v>
      </c>
      <c r="C13" s="17" t="s">
        <v>63</v>
      </c>
      <c r="D13">
        <v>15000</v>
      </c>
      <c r="E13" t="s">
        <v>240</v>
      </c>
      <c r="F13" s="18">
        <v>45275</v>
      </c>
      <c r="G13" s="17" t="s">
        <v>175</v>
      </c>
      <c r="H13">
        <v>2</v>
      </c>
    </row>
    <row r="14" spans="1:8" x14ac:dyDescent="0.35">
      <c r="A14" s="17" t="s">
        <v>184</v>
      </c>
      <c r="B14" s="17" t="s">
        <v>139</v>
      </c>
      <c r="C14" s="17" t="s">
        <v>67</v>
      </c>
      <c r="D14">
        <v>58000</v>
      </c>
      <c r="E14" t="s">
        <v>240</v>
      </c>
      <c r="F14" s="18">
        <v>45507</v>
      </c>
      <c r="G14" s="17" t="s">
        <v>175</v>
      </c>
      <c r="H14">
        <v>0</v>
      </c>
    </row>
    <row r="15" spans="1:8" x14ac:dyDescent="0.35">
      <c r="A15" s="17" t="s">
        <v>185</v>
      </c>
      <c r="B15" s="17" t="s">
        <v>140</v>
      </c>
      <c r="C15" s="17" t="s">
        <v>70</v>
      </c>
      <c r="D15">
        <v>0</v>
      </c>
      <c r="E15" t="s">
        <v>122</v>
      </c>
      <c r="F15" s="18">
        <v>45342</v>
      </c>
      <c r="G15" s="17" t="s">
        <v>241</v>
      </c>
      <c r="H15">
        <v>85</v>
      </c>
    </row>
    <row r="16" spans="1:8" x14ac:dyDescent="0.35">
      <c r="A16" s="17" t="s">
        <v>187</v>
      </c>
      <c r="B16" s="17" t="s">
        <v>143</v>
      </c>
      <c r="C16" s="17" t="s">
        <v>74</v>
      </c>
      <c r="D16">
        <v>42000</v>
      </c>
      <c r="E16" t="s">
        <v>240</v>
      </c>
      <c r="F16" s="18">
        <v>45538</v>
      </c>
      <c r="G16" s="17" t="s">
        <v>166</v>
      </c>
      <c r="H16">
        <v>0</v>
      </c>
    </row>
    <row r="17" spans="1:8" x14ac:dyDescent="0.35">
      <c r="A17" s="17" t="s">
        <v>188</v>
      </c>
      <c r="B17" s="17" t="s">
        <v>144</v>
      </c>
      <c r="C17" s="17" t="s">
        <v>77</v>
      </c>
      <c r="D17">
        <v>2500</v>
      </c>
      <c r="E17" t="s">
        <v>240</v>
      </c>
      <c r="F17" s="18">
        <v>45392</v>
      </c>
      <c r="G17" s="17" t="s">
        <v>166</v>
      </c>
      <c r="H17">
        <v>6</v>
      </c>
    </row>
    <row r="18" spans="1:8" x14ac:dyDescent="0.35">
      <c r="A18" s="17" t="s">
        <v>190</v>
      </c>
      <c r="B18" s="17" t="s">
        <v>147</v>
      </c>
      <c r="C18" s="17" t="s">
        <v>82</v>
      </c>
      <c r="D18">
        <v>28000</v>
      </c>
      <c r="E18" t="s">
        <v>240</v>
      </c>
      <c r="F18" s="18">
        <v>45568</v>
      </c>
      <c r="G18" s="17" t="s">
        <v>175</v>
      </c>
      <c r="H18">
        <v>0</v>
      </c>
    </row>
    <row r="19" spans="1:8" x14ac:dyDescent="0.35">
      <c r="A19" s="17" t="s">
        <v>191</v>
      </c>
      <c r="B19" s="17" t="s">
        <v>148</v>
      </c>
      <c r="C19" s="17" t="s">
        <v>86</v>
      </c>
      <c r="D19">
        <v>38000</v>
      </c>
      <c r="E19" t="s">
        <v>240</v>
      </c>
      <c r="F19" s="18">
        <v>45444</v>
      </c>
      <c r="G19" s="17" t="s">
        <v>175</v>
      </c>
      <c r="H19">
        <v>0</v>
      </c>
    </row>
    <row r="20" spans="1:8" x14ac:dyDescent="0.35">
      <c r="A20" s="17" t="s">
        <v>193</v>
      </c>
      <c r="B20" s="17" t="s">
        <v>151</v>
      </c>
      <c r="C20" s="17" t="s">
        <v>90</v>
      </c>
      <c r="D20">
        <v>0</v>
      </c>
      <c r="E20" t="s">
        <v>122</v>
      </c>
      <c r="F20" s="18">
        <v>45599</v>
      </c>
      <c r="G20" s="17" t="s">
        <v>241</v>
      </c>
      <c r="H20">
        <v>92</v>
      </c>
    </row>
    <row r="21" spans="1:8" x14ac:dyDescent="0.35">
      <c r="A21" s="17" t="s">
        <v>194</v>
      </c>
      <c r="B21" s="17" t="s">
        <v>152</v>
      </c>
      <c r="C21" s="17" t="s">
        <v>94</v>
      </c>
      <c r="D21">
        <v>19500</v>
      </c>
      <c r="E21" t="s">
        <v>240</v>
      </c>
      <c r="F21" s="18">
        <v>45519</v>
      </c>
      <c r="G21" s="17" t="s">
        <v>166</v>
      </c>
      <c r="H21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3977-2FE5-4826-A424-DA2B00AAC7FC}">
  <dimension ref="A1:H21"/>
  <sheetViews>
    <sheetView workbookViewId="0"/>
  </sheetViews>
  <sheetFormatPr defaultRowHeight="14.5" x14ac:dyDescent="0.35"/>
  <cols>
    <col min="1" max="1" width="9.90625" bestFit="1" customWidth="1"/>
    <col min="2" max="2" width="9.6328125" bestFit="1" customWidth="1"/>
    <col min="3" max="3" width="12.08984375" bestFit="1" customWidth="1"/>
    <col min="4" max="4" width="9.90625" bestFit="1" customWidth="1"/>
    <col min="5" max="5" width="14.54296875" bestFit="1" customWidth="1"/>
    <col min="6" max="6" width="12.36328125" bestFit="1" customWidth="1"/>
    <col min="7" max="7" width="11.453125" bestFit="1" customWidth="1"/>
    <col min="8" max="8" width="9" bestFit="1" customWidth="1"/>
  </cols>
  <sheetData>
    <row r="1" spans="1:8" x14ac:dyDescent="0.35">
      <c r="A1" t="s">
        <v>98</v>
      </c>
      <c r="B1" t="s">
        <v>0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 x14ac:dyDescent="0.35">
      <c r="A2" s="17" t="s">
        <v>105</v>
      </c>
      <c r="B2" s="17" t="s">
        <v>8</v>
      </c>
      <c r="C2" s="17" t="s">
        <v>106</v>
      </c>
      <c r="D2">
        <v>50000</v>
      </c>
      <c r="E2">
        <v>0.14000000000000001</v>
      </c>
      <c r="F2" s="18">
        <v>45292</v>
      </c>
      <c r="G2" s="18">
        <v>45657</v>
      </c>
      <c r="H2" s="17" t="s">
        <v>115</v>
      </c>
    </row>
    <row r="3" spans="1:8" x14ac:dyDescent="0.35">
      <c r="A3" s="17" t="s">
        <v>109</v>
      </c>
      <c r="B3" s="17" t="s">
        <v>14</v>
      </c>
      <c r="C3" s="17" t="s">
        <v>36</v>
      </c>
      <c r="D3">
        <v>250000</v>
      </c>
      <c r="E3">
        <v>0.12</v>
      </c>
      <c r="F3" s="18">
        <v>44972</v>
      </c>
      <c r="G3" s="18">
        <v>45337</v>
      </c>
      <c r="H3" s="17" t="s">
        <v>115</v>
      </c>
    </row>
    <row r="4" spans="1:8" x14ac:dyDescent="0.35">
      <c r="A4" s="17" t="s">
        <v>114</v>
      </c>
      <c r="B4" s="17" t="s">
        <v>21</v>
      </c>
      <c r="C4" s="17" t="s">
        <v>106</v>
      </c>
      <c r="D4">
        <v>30000</v>
      </c>
      <c r="E4">
        <v>0.14000000000000001</v>
      </c>
      <c r="F4" s="18">
        <v>45323</v>
      </c>
      <c r="G4" s="18">
        <v>45688</v>
      </c>
      <c r="H4" s="17" t="s">
        <v>115</v>
      </c>
    </row>
    <row r="5" spans="1:8" x14ac:dyDescent="0.35">
      <c r="A5" s="17" t="s">
        <v>116</v>
      </c>
      <c r="B5" s="17" t="s">
        <v>26</v>
      </c>
      <c r="C5" s="17" t="s">
        <v>117</v>
      </c>
      <c r="D5">
        <v>2500000</v>
      </c>
      <c r="E5">
        <v>0.09</v>
      </c>
      <c r="F5" s="18">
        <v>45017</v>
      </c>
      <c r="G5" s="18">
        <v>48670</v>
      </c>
      <c r="H5" s="17" t="s">
        <v>115</v>
      </c>
    </row>
    <row r="6" spans="1:8" x14ac:dyDescent="0.35">
      <c r="A6" s="17" t="s">
        <v>121</v>
      </c>
      <c r="B6" s="17" t="s">
        <v>32</v>
      </c>
      <c r="C6" s="17" t="s">
        <v>36</v>
      </c>
      <c r="D6">
        <v>500000</v>
      </c>
      <c r="E6">
        <v>0.12</v>
      </c>
      <c r="F6" s="18">
        <v>45354</v>
      </c>
      <c r="G6" s="18">
        <v>45719</v>
      </c>
      <c r="H6" s="17" t="s">
        <v>213</v>
      </c>
    </row>
    <row r="7" spans="1:8" x14ac:dyDescent="0.35">
      <c r="A7" s="17" t="s">
        <v>123</v>
      </c>
      <c r="B7" s="17" t="s">
        <v>37</v>
      </c>
      <c r="C7" s="17" t="s">
        <v>106</v>
      </c>
      <c r="D7">
        <v>15000</v>
      </c>
      <c r="E7">
        <v>0.14000000000000001</v>
      </c>
      <c r="F7" s="18">
        <v>45066</v>
      </c>
      <c r="G7" s="18">
        <v>45432</v>
      </c>
      <c r="H7" s="17" t="s">
        <v>115</v>
      </c>
    </row>
    <row r="8" spans="1:8" x14ac:dyDescent="0.35">
      <c r="A8" s="17" t="s">
        <v>126</v>
      </c>
      <c r="B8" s="17" t="s">
        <v>42</v>
      </c>
      <c r="C8" s="17" t="s">
        <v>36</v>
      </c>
      <c r="D8">
        <v>180000</v>
      </c>
      <c r="E8">
        <v>0.12</v>
      </c>
      <c r="F8" s="18">
        <v>45384</v>
      </c>
      <c r="G8" s="18">
        <v>45749</v>
      </c>
      <c r="H8" s="17" t="s">
        <v>115</v>
      </c>
    </row>
    <row r="9" spans="1:8" x14ac:dyDescent="0.35">
      <c r="A9" s="17" t="s">
        <v>127</v>
      </c>
      <c r="B9" s="17" t="s">
        <v>46</v>
      </c>
      <c r="C9" s="17" t="s">
        <v>117</v>
      </c>
      <c r="D9">
        <v>1800000</v>
      </c>
      <c r="E9">
        <v>0.09</v>
      </c>
      <c r="F9" s="18">
        <v>45117</v>
      </c>
      <c r="G9" s="18">
        <v>48770</v>
      </c>
      <c r="H9" s="17" t="s">
        <v>115</v>
      </c>
    </row>
    <row r="10" spans="1:8" x14ac:dyDescent="0.35">
      <c r="A10" s="17" t="s">
        <v>130</v>
      </c>
      <c r="B10" s="17" t="s">
        <v>51</v>
      </c>
      <c r="C10" s="17" t="s">
        <v>106</v>
      </c>
      <c r="D10">
        <v>75000</v>
      </c>
      <c r="E10">
        <v>0.14000000000000001</v>
      </c>
      <c r="F10" s="18">
        <v>45415</v>
      </c>
      <c r="G10" s="18">
        <v>45780</v>
      </c>
      <c r="H10" s="17" t="s">
        <v>213</v>
      </c>
    </row>
    <row r="11" spans="1:8" x14ac:dyDescent="0.35">
      <c r="A11" s="17" t="s">
        <v>132</v>
      </c>
      <c r="B11" s="17" t="s">
        <v>54</v>
      </c>
      <c r="C11" s="17" t="s">
        <v>36</v>
      </c>
      <c r="D11">
        <v>320000</v>
      </c>
      <c r="E11">
        <v>0.12</v>
      </c>
      <c r="F11" s="18">
        <v>45170</v>
      </c>
      <c r="G11" s="18">
        <v>45536</v>
      </c>
      <c r="H11" s="17" t="s">
        <v>115</v>
      </c>
    </row>
    <row r="12" spans="1:8" x14ac:dyDescent="0.35">
      <c r="A12" s="17" t="s">
        <v>135</v>
      </c>
      <c r="B12" s="17" t="s">
        <v>59</v>
      </c>
      <c r="C12" s="17" t="s">
        <v>106</v>
      </c>
      <c r="D12">
        <v>45000</v>
      </c>
      <c r="E12">
        <v>0.14000000000000001</v>
      </c>
      <c r="F12" s="18">
        <v>45446</v>
      </c>
      <c r="G12" s="18">
        <v>45811</v>
      </c>
      <c r="H12" s="17" t="s">
        <v>115</v>
      </c>
    </row>
    <row r="13" spans="1:8" x14ac:dyDescent="0.35">
      <c r="A13" s="17" t="s">
        <v>136</v>
      </c>
      <c r="B13" s="17" t="s">
        <v>63</v>
      </c>
      <c r="C13" s="17" t="s">
        <v>36</v>
      </c>
      <c r="D13">
        <v>150000</v>
      </c>
      <c r="E13">
        <v>0.12</v>
      </c>
      <c r="F13" s="18">
        <v>45245</v>
      </c>
      <c r="G13" s="18">
        <v>45611</v>
      </c>
      <c r="H13" s="17" t="s">
        <v>115</v>
      </c>
    </row>
    <row r="14" spans="1:8" x14ac:dyDescent="0.35">
      <c r="A14" s="17" t="s">
        <v>139</v>
      </c>
      <c r="B14" s="17" t="s">
        <v>67</v>
      </c>
      <c r="C14" s="17" t="s">
        <v>117</v>
      </c>
      <c r="D14">
        <v>3200000</v>
      </c>
      <c r="E14">
        <v>0.09</v>
      </c>
      <c r="F14" s="18">
        <v>45476</v>
      </c>
      <c r="G14" s="18">
        <v>45841</v>
      </c>
      <c r="H14" s="17" t="s">
        <v>115</v>
      </c>
    </row>
    <row r="15" spans="1:8" x14ac:dyDescent="0.35">
      <c r="A15" s="17" t="s">
        <v>140</v>
      </c>
      <c r="B15" s="17" t="s">
        <v>70</v>
      </c>
      <c r="C15" s="17" t="s">
        <v>106</v>
      </c>
      <c r="D15">
        <v>60000</v>
      </c>
      <c r="E15">
        <v>0.14000000000000001</v>
      </c>
      <c r="F15" s="18">
        <v>45311</v>
      </c>
      <c r="G15" s="18">
        <v>45677</v>
      </c>
      <c r="H15" s="17" t="s">
        <v>213</v>
      </c>
    </row>
    <row r="16" spans="1:8" x14ac:dyDescent="0.35">
      <c r="A16" s="17" t="s">
        <v>143</v>
      </c>
      <c r="B16" s="17" t="s">
        <v>74</v>
      </c>
      <c r="C16" s="17" t="s">
        <v>36</v>
      </c>
      <c r="D16">
        <v>420000</v>
      </c>
      <c r="E16">
        <v>0.12</v>
      </c>
      <c r="F16" s="18">
        <v>45507</v>
      </c>
      <c r="G16" s="18">
        <v>45872</v>
      </c>
      <c r="H16" s="17" t="s">
        <v>115</v>
      </c>
    </row>
    <row r="17" spans="1:8" x14ac:dyDescent="0.35">
      <c r="A17" s="17" t="s">
        <v>144</v>
      </c>
      <c r="B17" s="17" t="s">
        <v>77</v>
      </c>
      <c r="C17" s="17" t="s">
        <v>106</v>
      </c>
      <c r="D17">
        <v>25000</v>
      </c>
      <c r="E17">
        <v>0.14000000000000001</v>
      </c>
      <c r="F17" s="18">
        <v>45361</v>
      </c>
      <c r="G17" s="18">
        <v>45726</v>
      </c>
      <c r="H17" s="17" t="s">
        <v>115</v>
      </c>
    </row>
    <row r="18" spans="1:8" x14ac:dyDescent="0.35">
      <c r="A18" s="17" t="s">
        <v>147</v>
      </c>
      <c r="B18" s="17" t="s">
        <v>82</v>
      </c>
      <c r="C18" s="17" t="s">
        <v>36</v>
      </c>
      <c r="D18">
        <v>280000</v>
      </c>
      <c r="E18">
        <v>0.12</v>
      </c>
      <c r="F18" s="18">
        <v>45538</v>
      </c>
      <c r="G18" s="18">
        <v>45903</v>
      </c>
      <c r="H18" s="17" t="s">
        <v>115</v>
      </c>
    </row>
    <row r="19" spans="1:8" x14ac:dyDescent="0.35">
      <c r="A19" s="17" t="s">
        <v>148</v>
      </c>
      <c r="B19" s="17" t="s">
        <v>86</v>
      </c>
      <c r="C19" s="17" t="s">
        <v>117</v>
      </c>
      <c r="D19">
        <v>2100000</v>
      </c>
      <c r="E19">
        <v>0.09</v>
      </c>
      <c r="F19" s="18">
        <v>45413</v>
      </c>
      <c r="G19" s="18">
        <v>49065</v>
      </c>
      <c r="H19" s="17" t="s">
        <v>115</v>
      </c>
    </row>
    <row r="20" spans="1:8" x14ac:dyDescent="0.35">
      <c r="A20" s="17" t="s">
        <v>151</v>
      </c>
      <c r="B20" s="17" t="s">
        <v>90</v>
      </c>
      <c r="C20" s="17" t="s">
        <v>106</v>
      </c>
      <c r="D20">
        <v>90000</v>
      </c>
      <c r="E20">
        <v>0.14000000000000001</v>
      </c>
      <c r="F20" s="18">
        <v>45568</v>
      </c>
      <c r="G20" s="18">
        <v>45933</v>
      </c>
      <c r="H20" s="17" t="s">
        <v>213</v>
      </c>
    </row>
    <row r="21" spans="1:8" x14ac:dyDescent="0.35">
      <c r="A21" s="17" t="s">
        <v>152</v>
      </c>
      <c r="B21" s="17" t="s">
        <v>94</v>
      </c>
      <c r="C21" s="17" t="s">
        <v>36</v>
      </c>
      <c r="D21">
        <v>195000</v>
      </c>
      <c r="E21">
        <v>0.12</v>
      </c>
      <c r="F21" s="18">
        <v>45488</v>
      </c>
      <c r="G21" s="18">
        <v>45853</v>
      </c>
      <c r="H21" s="17" t="s">
        <v>115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7A31-AA15-463E-B74E-289104CA9496}">
  <dimension ref="A1:H21"/>
  <sheetViews>
    <sheetView workbookViewId="0"/>
  </sheetViews>
  <sheetFormatPr defaultRowHeight="14.5" x14ac:dyDescent="0.35"/>
  <cols>
    <col min="1" max="1" width="9.6328125" bestFit="1" customWidth="1"/>
    <col min="2" max="2" width="14.6328125" bestFit="1" customWidth="1"/>
    <col min="3" max="3" width="12.7265625" bestFit="1" customWidth="1"/>
    <col min="4" max="5" width="9.26953125" bestFit="1" customWidth="1"/>
    <col min="6" max="6" width="6.1796875" bestFit="1" customWidth="1"/>
    <col min="7" max="7" width="12.6328125" bestFit="1" customWidth="1"/>
    <col min="8" max="8" width="13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7" t="s">
        <v>8</v>
      </c>
      <c r="B2" s="17" t="s">
        <v>214</v>
      </c>
      <c r="C2">
        <v>12345678</v>
      </c>
      <c r="D2" s="17" t="s">
        <v>11</v>
      </c>
      <c r="E2" s="17" t="s">
        <v>93</v>
      </c>
      <c r="F2">
        <v>34</v>
      </c>
      <c r="G2" s="17" t="s">
        <v>13</v>
      </c>
      <c r="H2" s="18">
        <v>44927</v>
      </c>
    </row>
    <row r="3" spans="1:8" x14ac:dyDescent="0.35">
      <c r="A3" s="17" t="s">
        <v>14</v>
      </c>
      <c r="B3" s="17" t="s">
        <v>215</v>
      </c>
      <c r="C3">
        <v>23456789</v>
      </c>
      <c r="D3" s="17" t="s">
        <v>17</v>
      </c>
      <c r="E3" s="17" t="s">
        <v>216</v>
      </c>
      <c r="F3">
        <v>28</v>
      </c>
      <c r="G3" s="17" t="s">
        <v>19</v>
      </c>
      <c r="H3" s="18">
        <v>44270</v>
      </c>
    </row>
    <row r="4" spans="1:8" x14ac:dyDescent="0.35">
      <c r="A4" s="17" t="s">
        <v>21</v>
      </c>
      <c r="B4" s="17" t="s">
        <v>217</v>
      </c>
      <c r="C4">
        <v>34567890</v>
      </c>
      <c r="D4" s="17" t="s">
        <v>11</v>
      </c>
      <c r="E4" s="17" t="s">
        <v>218</v>
      </c>
      <c r="F4">
        <v>45</v>
      </c>
      <c r="G4" s="17" t="s">
        <v>25</v>
      </c>
      <c r="H4" s="18">
        <v>44956</v>
      </c>
    </row>
    <row r="5" spans="1:8" x14ac:dyDescent="0.35">
      <c r="A5" s="17" t="s">
        <v>26</v>
      </c>
      <c r="B5" s="17" t="s">
        <v>219</v>
      </c>
      <c r="C5">
        <v>45678901</v>
      </c>
      <c r="D5" s="17" t="s">
        <v>17</v>
      </c>
      <c r="E5" s="17" t="s">
        <v>29</v>
      </c>
      <c r="F5">
        <v>31</v>
      </c>
      <c r="G5" s="17" t="s">
        <v>30</v>
      </c>
      <c r="H5" s="18">
        <v>44336</v>
      </c>
    </row>
    <row r="6" spans="1:8" x14ac:dyDescent="0.35">
      <c r="A6" s="17" t="s">
        <v>32</v>
      </c>
      <c r="B6" s="17" t="s">
        <v>220</v>
      </c>
      <c r="C6">
        <v>56789012</v>
      </c>
      <c r="D6" s="17" t="s">
        <v>11</v>
      </c>
      <c r="E6" s="17" t="s">
        <v>93</v>
      </c>
      <c r="F6">
        <v>52</v>
      </c>
      <c r="G6" s="17" t="s">
        <v>36</v>
      </c>
      <c r="H6" s="18">
        <v>44988</v>
      </c>
    </row>
    <row r="7" spans="1:8" x14ac:dyDescent="0.35">
      <c r="A7" s="17" t="s">
        <v>37</v>
      </c>
      <c r="B7" s="17" t="s">
        <v>221</v>
      </c>
      <c r="C7">
        <v>67890123</v>
      </c>
      <c r="D7" s="17" t="s">
        <v>17</v>
      </c>
      <c r="E7" s="17" t="s">
        <v>218</v>
      </c>
      <c r="F7">
        <v>24</v>
      </c>
      <c r="G7" s="17" t="s">
        <v>40</v>
      </c>
      <c r="H7" s="18">
        <v>44387</v>
      </c>
    </row>
    <row r="8" spans="1:8" x14ac:dyDescent="0.35">
      <c r="A8" s="17" t="s">
        <v>42</v>
      </c>
      <c r="B8" s="17" t="s">
        <v>222</v>
      </c>
      <c r="C8">
        <v>78901234</v>
      </c>
      <c r="D8" s="17" t="s">
        <v>11</v>
      </c>
      <c r="E8" s="17" t="s">
        <v>223</v>
      </c>
      <c r="F8">
        <v>38</v>
      </c>
      <c r="G8" s="17" t="s">
        <v>25</v>
      </c>
      <c r="H8" s="18">
        <v>45019</v>
      </c>
    </row>
    <row r="9" spans="1:8" x14ac:dyDescent="0.35">
      <c r="A9" s="17" t="s">
        <v>46</v>
      </c>
      <c r="B9" s="17" t="s">
        <v>224</v>
      </c>
      <c r="C9">
        <v>89012345</v>
      </c>
      <c r="D9" s="17" t="s">
        <v>17</v>
      </c>
      <c r="E9" s="17" t="s">
        <v>225</v>
      </c>
      <c r="F9">
        <v>43</v>
      </c>
      <c r="G9" s="17" t="s">
        <v>13</v>
      </c>
      <c r="H9" s="18">
        <v>44440</v>
      </c>
    </row>
    <row r="10" spans="1:8" x14ac:dyDescent="0.35">
      <c r="A10" s="17" t="s">
        <v>51</v>
      </c>
      <c r="B10" s="17" t="s">
        <v>226</v>
      </c>
      <c r="C10">
        <v>90123456</v>
      </c>
      <c r="D10" s="17" t="s">
        <v>11</v>
      </c>
      <c r="E10" s="17" t="s">
        <v>93</v>
      </c>
      <c r="F10">
        <v>29</v>
      </c>
      <c r="G10" s="17" t="s">
        <v>30</v>
      </c>
      <c r="H10" s="18">
        <v>45050</v>
      </c>
    </row>
    <row r="11" spans="1:8" x14ac:dyDescent="0.35">
      <c r="A11" s="17" t="s">
        <v>54</v>
      </c>
      <c r="B11" s="17" t="s">
        <v>227</v>
      </c>
      <c r="C11">
        <v>1234567</v>
      </c>
      <c r="D11" s="17" t="s">
        <v>17</v>
      </c>
      <c r="E11" s="17" t="s">
        <v>228</v>
      </c>
      <c r="F11">
        <v>36</v>
      </c>
      <c r="G11" s="17" t="s">
        <v>19</v>
      </c>
      <c r="H11" s="18">
        <v>44515</v>
      </c>
    </row>
    <row r="12" spans="1:8" x14ac:dyDescent="0.35">
      <c r="A12" s="17" t="s">
        <v>59</v>
      </c>
      <c r="B12" s="17" t="s">
        <v>229</v>
      </c>
      <c r="C12">
        <v>11223344</v>
      </c>
      <c r="D12" s="17" t="s">
        <v>11</v>
      </c>
      <c r="E12" s="17" t="s">
        <v>218</v>
      </c>
      <c r="F12">
        <v>41</v>
      </c>
      <c r="G12" s="17" t="s">
        <v>36</v>
      </c>
      <c r="H12" s="18">
        <v>45080</v>
      </c>
    </row>
    <row r="13" spans="1:8" x14ac:dyDescent="0.35">
      <c r="A13" s="17" t="s">
        <v>63</v>
      </c>
      <c r="B13" s="17" t="s">
        <v>230</v>
      </c>
      <c r="C13">
        <v>22334455</v>
      </c>
      <c r="D13" s="17" t="s">
        <v>17</v>
      </c>
      <c r="E13" s="17" t="s">
        <v>223</v>
      </c>
      <c r="F13">
        <v>27</v>
      </c>
      <c r="G13" s="17" t="s">
        <v>13</v>
      </c>
      <c r="H13" s="18">
        <v>44581</v>
      </c>
    </row>
    <row r="14" spans="1:8" x14ac:dyDescent="0.35">
      <c r="A14" s="17" t="s">
        <v>67</v>
      </c>
      <c r="B14" s="17" t="s">
        <v>231</v>
      </c>
      <c r="C14">
        <v>33445566</v>
      </c>
      <c r="D14" s="17" t="s">
        <v>11</v>
      </c>
      <c r="E14" s="17" t="s">
        <v>29</v>
      </c>
      <c r="F14">
        <v>55</v>
      </c>
      <c r="G14" s="17" t="s">
        <v>25</v>
      </c>
      <c r="H14" s="18">
        <v>45111</v>
      </c>
    </row>
    <row r="15" spans="1:8" x14ac:dyDescent="0.35">
      <c r="A15" s="17" t="s">
        <v>70</v>
      </c>
      <c r="B15" s="17" t="s">
        <v>232</v>
      </c>
      <c r="C15">
        <v>44556677</v>
      </c>
      <c r="D15" s="17" t="s">
        <v>17</v>
      </c>
      <c r="E15" s="17" t="s">
        <v>216</v>
      </c>
      <c r="F15">
        <v>32</v>
      </c>
      <c r="G15" s="17" t="s">
        <v>19</v>
      </c>
      <c r="H15" s="18">
        <v>44630</v>
      </c>
    </row>
    <row r="16" spans="1:8" x14ac:dyDescent="0.35">
      <c r="A16" s="17" t="s">
        <v>74</v>
      </c>
      <c r="B16" s="17" t="s">
        <v>233</v>
      </c>
      <c r="C16">
        <v>55667788</v>
      </c>
      <c r="D16" s="17" t="s">
        <v>11</v>
      </c>
      <c r="E16" s="17" t="s">
        <v>93</v>
      </c>
      <c r="F16">
        <v>47</v>
      </c>
      <c r="G16" s="17" t="s">
        <v>30</v>
      </c>
      <c r="H16" s="18">
        <v>45142</v>
      </c>
    </row>
    <row r="17" spans="1:8" x14ac:dyDescent="0.35">
      <c r="A17" s="17" t="s">
        <v>77</v>
      </c>
      <c r="B17" s="17" t="s">
        <v>234</v>
      </c>
      <c r="C17">
        <v>66778899</v>
      </c>
      <c r="D17" s="17" t="s">
        <v>17</v>
      </c>
      <c r="E17" s="17" t="s">
        <v>29</v>
      </c>
      <c r="F17">
        <v>23</v>
      </c>
      <c r="G17" s="17" t="s">
        <v>40</v>
      </c>
      <c r="H17" s="18">
        <v>44682</v>
      </c>
    </row>
    <row r="18" spans="1:8" x14ac:dyDescent="0.35">
      <c r="A18" s="17" t="s">
        <v>82</v>
      </c>
      <c r="B18" s="17" t="s">
        <v>235</v>
      </c>
      <c r="C18">
        <v>77889900</v>
      </c>
      <c r="D18" s="17" t="s">
        <v>11</v>
      </c>
      <c r="E18" s="17" t="s">
        <v>225</v>
      </c>
      <c r="F18">
        <v>39</v>
      </c>
      <c r="G18" s="17" t="s">
        <v>36</v>
      </c>
      <c r="H18" s="18">
        <v>45172</v>
      </c>
    </row>
    <row r="19" spans="1:8" x14ac:dyDescent="0.35">
      <c r="A19" s="17" t="s">
        <v>86</v>
      </c>
      <c r="B19" s="17" t="s">
        <v>236</v>
      </c>
      <c r="C19">
        <v>88990011</v>
      </c>
      <c r="D19" s="17" t="s">
        <v>17</v>
      </c>
      <c r="E19" s="17" t="s">
        <v>218</v>
      </c>
      <c r="F19">
        <v>44</v>
      </c>
      <c r="G19" s="17" t="s">
        <v>13</v>
      </c>
      <c r="H19" s="18">
        <v>44757</v>
      </c>
    </row>
    <row r="20" spans="1:8" x14ac:dyDescent="0.35">
      <c r="A20" s="17" t="s">
        <v>90</v>
      </c>
      <c r="B20" s="17" t="s">
        <v>237</v>
      </c>
      <c r="C20">
        <v>99001122</v>
      </c>
      <c r="D20" s="17" t="s">
        <v>11</v>
      </c>
      <c r="E20" s="17" t="s">
        <v>93</v>
      </c>
      <c r="F20">
        <v>33</v>
      </c>
      <c r="G20" s="17" t="s">
        <v>30</v>
      </c>
      <c r="H20" s="18">
        <v>45203</v>
      </c>
    </row>
    <row r="21" spans="1:8" x14ac:dyDescent="0.35">
      <c r="A21" s="17" t="s">
        <v>94</v>
      </c>
      <c r="B21" s="17" t="s">
        <v>238</v>
      </c>
      <c r="C21">
        <v>112233</v>
      </c>
      <c r="D21" s="17" t="s">
        <v>17</v>
      </c>
      <c r="E21" s="17" t="s">
        <v>223</v>
      </c>
      <c r="F21">
        <v>26</v>
      </c>
      <c r="G21" s="17" t="s">
        <v>19</v>
      </c>
      <c r="H21" s="18">
        <v>44805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pane ySplit="1" topLeftCell="A2" activePane="bottomLeft" state="frozen"/>
      <selection pane="bottomLeft" sqref="A1:H21"/>
    </sheetView>
  </sheetViews>
  <sheetFormatPr defaultRowHeight="14.5" x14ac:dyDescent="0.35"/>
  <cols>
    <col min="1" max="1" width="9.54296875" customWidth="1"/>
    <col min="2" max="2" width="18" customWidth="1"/>
    <col min="3" max="3" width="12.26953125" customWidth="1"/>
    <col min="4" max="4" width="9.1796875" customWidth="1"/>
    <col min="5" max="5" width="12" customWidth="1"/>
    <col min="6" max="6" width="6.08984375" customWidth="1"/>
    <col min="7" max="8" width="14" customWidth="1"/>
  </cols>
  <sheetData>
    <row r="1" spans="1: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</row>
    <row r="2" spans="1:8" x14ac:dyDescent="0.35">
      <c r="A2" s="7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34</v>
      </c>
      <c r="G2" s="2" t="s">
        <v>13</v>
      </c>
      <c r="H2" s="9">
        <v>44927</v>
      </c>
    </row>
    <row r="3" spans="1:8" x14ac:dyDescent="0.35">
      <c r="A3" s="8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>
        <v>28</v>
      </c>
      <c r="G3" s="3" t="s">
        <v>19</v>
      </c>
      <c r="H3" s="10" t="s">
        <v>20</v>
      </c>
    </row>
    <row r="4" spans="1:8" x14ac:dyDescent="0.35">
      <c r="A4" s="7" t="s">
        <v>21</v>
      </c>
      <c r="B4" s="2" t="s">
        <v>22</v>
      </c>
      <c r="C4" s="2" t="s">
        <v>23</v>
      </c>
      <c r="D4" s="2" t="s">
        <v>11</v>
      </c>
      <c r="E4" s="2" t="s">
        <v>24</v>
      </c>
      <c r="F4" s="2">
        <v>45</v>
      </c>
      <c r="G4" s="2" t="s">
        <v>25</v>
      </c>
      <c r="H4" s="9">
        <v>44956</v>
      </c>
    </row>
    <row r="5" spans="1:8" x14ac:dyDescent="0.35">
      <c r="A5" s="8" t="s">
        <v>26</v>
      </c>
      <c r="B5" s="3" t="s">
        <v>27</v>
      </c>
      <c r="C5" s="3" t="s">
        <v>28</v>
      </c>
      <c r="D5" s="3" t="s">
        <v>17</v>
      </c>
      <c r="E5" s="3" t="s">
        <v>29</v>
      </c>
      <c r="F5" s="3">
        <v>31</v>
      </c>
      <c r="G5" s="3" t="s">
        <v>30</v>
      </c>
      <c r="H5" s="10" t="s">
        <v>31</v>
      </c>
    </row>
    <row r="6" spans="1:8" x14ac:dyDescent="0.35">
      <c r="A6" s="7" t="s">
        <v>32</v>
      </c>
      <c r="B6" s="2" t="s">
        <v>33</v>
      </c>
      <c r="C6" s="2" t="s">
        <v>34</v>
      </c>
      <c r="D6" s="2" t="s">
        <v>11</v>
      </c>
      <c r="E6" s="2" t="s">
        <v>35</v>
      </c>
      <c r="F6" s="2">
        <v>52</v>
      </c>
      <c r="G6" s="2" t="s">
        <v>36</v>
      </c>
      <c r="H6" s="9">
        <v>44988</v>
      </c>
    </row>
    <row r="7" spans="1:8" x14ac:dyDescent="0.35">
      <c r="A7" s="8" t="s">
        <v>37</v>
      </c>
      <c r="B7" s="3" t="s">
        <v>38</v>
      </c>
      <c r="C7" s="3" t="s">
        <v>39</v>
      </c>
      <c r="D7" s="3" t="s">
        <v>17</v>
      </c>
      <c r="E7" s="3" t="s">
        <v>24</v>
      </c>
      <c r="F7" s="3">
        <v>24</v>
      </c>
      <c r="G7" s="3" t="s">
        <v>40</v>
      </c>
      <c r="H7" s="10" t="s">
        <v>41</v>
      </c>
    </row>
    <row r="8" spans="1:8" x14ac:dyDescent="0.35">
      <c r="A8" s="7" t="s">
        <v>42</v>
      </c>
      <c r="B8" s="2" t="s">
        <v>43</v>
      </c>
      <c r="C8" s="2" t="s">
        <v>44</v>
      </c>
      <c r="D8" s="2" t="s">
        <v>11</v>
      </c>
      <c r="E8" s="2" t="s">
        <v>45</v>
      </c>
      <c r="F8" s="2">
        <v>38</v>
      </c>
      <c r="G8" s="2" t="s">
        <v>25</v>
      </c>
      <c r="H8" s="9">
        <v>45019</v>
      </c>
    </row>
    <row r="9" spans="1:8" x14ac:dyDescent="0.35">
      <c r="A9" s="8" t="s">
        <v>46</v>
      </c>
      <c r="B9" s="3" t="s">
        <v>47</v>
      </c>
      <c r="C9" s="3" t="s">
        <v>48</v>
      </c>
      <c r="D9" s="3" t="s">
        <v>17</v>
      </c>
      <c r="E9" s="3" t="s">
        <v>49</v>
      </c>
      <c r="F9" s="3">
        <v>43</v>
      </c>
      <c r="G9" s="3" t="s">
        <v>13</v>
      </c>
      <c r="H9" s="10" t="s">
        <v>50</v>
      </c>
    </row>
    <row r="10" spans="1:8" x14ac:dyDescent="0.35">
      <c r="A10" s="7" t="s">
        <v>51</v>
      </c>
      <c r="B10" s="2" t="s">
        <v>52</v>
      </c>
      <c r="C10" s="2" t="s">
        <v>53</v>
      </c>
      <c r="D10" s="2" t="s">
        <v>11</v>
      </c>
      <c r="E10" s="2" t="s">
        <v>12</v>
      </c>
      <c r="F10" s="2">
        <v>29</v>
      </c>
      <c r="G10" s="2" t="s">
        <v>30</v>
      </c>
      <c r="H10" s="9">
        <v>45050</v>
      </c>
    </row>
    <row r="11" spans="1:8" x14ac:dyDescent="0.35">
      <c r="A11" s="8" t="s">
        <v>54</v>
      </c>
      <c r="B11" s="3" t="s">
        <v>55</v>
      </c>
      <c r="C11" s="3" t="s">
        <v>56</v>
      </c>
      <c r="D11" s="3" t="s">
        <v>17</v>
      </c>
      <c r="E11" s="3" t="s">
        <v>57</v>
      </c>
      <c r="F11" s="3">
        <v>36</v>
      </c>
      <c r="G11" s="3" t="s">
        <v>19</v>
      </c>
      <c r="H11" s="10" t="s">
        <v>58</v>
      </c>
    </row>
    <row r="12" spans="1:8" x14ac:dyDescent="0.35">
      <c r="A12" s="7" t="s">
        <v>59</v>
      </c>
      <c r="B12" s="2" t="s">
        <v>60</v>
      </c>
      <c r="C12" s="2" t="s">
        <v>61</v>
      </c>
      <c r="D12" s="2" t="s">
        <v>11</v>
      </c>
      <c r="E12" s="2" t="s">
        <v>62</v>
      </c>
      <c r="F12" s="2">
        <v>41</v>
      </c>
      <c r="G12" s="2" t="s">
        <v>36</v>
      </c>
      <c r="H12" s="9">
        <v>45080</v>
      </c>
    </row>
    <row r="13" spans="1:8" x14ac:dyDescent="0.35">
      <c r="A13" s="8" t="s">
        <v>63</v>
      </c>
      <c r="B13" s="3" t="s">
        <v>64</v>
      </c>
      <c r="C13" s="3" t="s">
        <v>65</v>
      </c>
      <c r="D13" s="3" t="s">
        <v>17</v>
      </c>
      <c r="E13" s="3" t="s">
        <v>45</v>
      </c>
      <c r="F13" s="3">
        <v>27</v>
      </c>
      <c r="G13" s="3" t="s">
        <v>13</v>
      </c>
      <c r="H13" s="10" t="s">
        <v>66</v>
      </c>
    </row>
    <row r="14" spans="1:8" x14ac:dyDescent="0.35">
      <c r="A14" s="7" t="s">
        <v>67</v>
      </c>
      <c r="B14" s="2" t="s">
        <v>68</v>
      </c>
      <c r="C14" s="2" t="s">
        <v>69</v>
      </c>
      <c r="D14" s="2" t="s">
        <v>11</v>
      </c>
      <c r="E14" s="2" t="s">
        <v>29</v>
      </c>
      <c r="F14" s="2">
        <v>55</v>
      </c>
      <c r="G14" s="2" t="s">
        <v>25</v>
      </c>
      <c r="H14" s="9">
        <v>45111</v>
      </c>
    </row>
    <row r="15" spans="1:8" x14ac:dyDescent="0.35">
      <c r="A15" s="8" t="s">
        <v>70</v>
      </c>
      <c r="B15" s="3" t="s">
        <v>71</v>
      </c>
      <c r="C15" s="3" t="s">
        <v>72</v>
      </c>
      <c r="D15" s="3" t="s">
        <v>17</v>
      </c>
      <c r="E15" s="3" t="s">
        <v>18</v>
      </c>
      <c r="F15" s="3">
        <v>32</v>
      </c>
      <c r="G15" s="3" t="s">
        <v>19</v>
      </c>
      <c r="H15" s="10" t="s">
        <v>73</v>
      </c>
    </row>
    <row r="16" spans="1:8" x14ac:dyDescent="0.35">
      <c r="A16" s="7" t="s">
        <v>74</v>
      </c>
      <c r="B16" s="2" t="s">
        <v>75</v>
      </c>
      <c r="C16" s="2" t="s">
        <v>76</v>
      </c>
      <c r="D16" s="2" t="s">
        <v>11</v>
      </c>
      <c r="E16" s="2" t="s">
        <v>12</v>
      </c>
      <c r="F16" s="2">
        <v>47</v>
      </c>
      <c r="G16" s="2" t="s">
        <v>30</v>
      </c>
      <c r="H16" s="9">
        <v>45142</v>
      </c>
    </row>
    <row r="17" spans="1:8" x14ac:dyDescent="0.35">
      <c r="A17" s="8" t="s">
        <v>77</v>
      </c>
      <c r="B17" s="3" t="s">
        <v>78</v>
      </c>
      <c r="C17" s="3" t="s">
        <v>79</v>
      </c>
      <c r="D17" s="3" t="s">
        <v>17</v>
      </c>
      <c r="E17" s="3" t="s">
        <v>80</v>
      </c>
      <c r="F17" s="3">
        <v>23</v>
      </c>
      <c r="G17" s="3" t="s">
        <v>40</v>
      </c>
      <c r="H17" s="10" t="s">
        <v>81</v>
      </c>
    </row>
    <row r="18" spans="1:8" x14ac:dyDescent="0.35">
      <c r="A18" s="7" t="s">
        <v>82</v>
      </c>
      <c r="B18" s="2" t="s">
        <v>83</v>
      </c>
      <c r="C18" s="2" t="s">
        <v>84</v>
      </c>
      <c r="D18" s="2" t="s">
        <v>11</v>
      </c>
      <c r="E18" s="2" t="s">
        <v>85</v>
      </c>
      <c r="F18" s="2">
        <v>39</v>
      </c>
      <c r="G18" s="2" t="s">
        <v>36</v>
      </c>
      <c r="H18" s="9">
        <v>45172</v>
      </c>
    </row>
    <row r="19" spans="1:8" x14ac:dyDescent="0.35">
      <c r="A19" s="8" t="s">
        <v>86</v>
      </c>
      <c r="B19" s="3" t="s">
        <v>87</v>
      </c>
      <c r="C19" s="3" t="s">
        <v>88</v>
      </c>
      <c r="D19" s="3" t="s">
        <v>17</v>
      </c>
      <c r="E19" s="3" t="s">
        <v>62</v>
      </c>
      <c r="F19" s="3">
        <v>44</v>
      </c>
      <c r="G19" s="3" t="s">
        <v>13</v>
      </c>
      <c r="H19" s="10" t="s">
        <v>89</v>
      </c>
    </row>
    <row r="20" spans="1:8" x14ac:dyDescent="0.35">
      <c r="A20" s="7" t="s">
        <v>90</v>
      </c>
      <c r="B20" s="2" t="s">
        <v>91</v>
      </c>
      <c r="C20" s="2" t="s">
        <v>92</v>
      </c>
      <c r="D20" s="2" t="s">
        <v>11</v>
      </c>
      <c r="E20" s="2" t="s">
        <v>93</v>
      </c>
      <c r="F20" s="2">
        <v>33</v>
      </c>
      <c r="G20" s="2" t="s">
        <v>30</v>
      </c>
      <c r="H20" s="9">
        <v>45203</v>
      </c>
    </row>
    <row r="21" spans="1:8" x14ac:dyDescent="0.35">
      <c r="A21" s="14" t="s">
        <v>94</v>
      </c>
      <c r="B21" s="15" t="s">
        <v>95</v>
      </c>
      <c r="C21" s="15" t="s">
        <v>96</v>
      </c>
      <c r="D21" s="15" t="s">
        <v>17</v>
      </c>
      <c r="E21" s="15" t="s">
        <v>45</v>
      </c>
      <c r="F21" s="15">
        <v>26</v>
      </c>
      <c r="G21" s="15" t="s">
        <v>19</v>
      </c>
      <c r="H21" s="16" t="s">
        <v>97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2" width="8" customWidth="1"/>
    <col min="3" max="3" width="12" customWidth="1"/>
    <col min="4" max="7" width="14" customWidth="1"/>
    <col min="8" max="8" width="12" customWidth="1"/>
  </cols>
  <sheetData>
    <row r="1" spans="1:8" x14ac:dyDescent="0.35">
      <c r="A1" s="1" t="s">
        <v>98</v>
      </c>
      <c r="B1" s="1" t="s">
        <v>0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</row>
    <row r="2" spans="1:8" x14ac:dyDescent="0.35">
      <c r="A2" s="2" t="s">
        <v>105</v>
      </c>
      <c r="B2" s="2" t="s">
        <v>8</v>
      </c>
      <c r="C2" s="2" t="s">
        <v>106</v>
      </c>
      <c r="D2" s="2">
        <v>50000</v>
      </c>
      <c r="E2" s="2" t="s">
        <v>107</v>
      </c>
      <c r="F2" s="2">
        <v>45292</v>
      </c>
      <c r="G2" s="2">
        <v>45657</v>
      </c>
      <c r="H2" s="2" t="s">
        <v>108</v>
      </c>
    </row>
    <row r="3" spans="1:8" x14ac:dyDescent="0.35">
      <c r="A3" s="3" t="s">
        <v>109</v>
      </c>
      <c r="B3" s="3" t="s">
        <v>14</v>
      </c>
      <c r="C3" s="3" t="s">
        <v>36</v>
      </c>
      <c r="D3" s="3">
        <v>250000</v>
      </c>
      <c r="E3" s="3" t="s">
        <v>110</v>
      </c>
      <c r="F3" s="3" t="s">
        <v>111</v>
      </c>
      <c r="G3" s="3" t="s">
        <v>112</v>
      </c>
      <c r="H3" s="3" t="s">
        <v>113</v>
      </c>
    </row>
    <row r="4" spans="1:8" x14ac:dyDescent="0.35">
      <c r="A4" s="2" t="s">
        <v>114</v>
      </c>
      <c r="B4" s="2" t="s">
        <v>21</v>
      </c>
      <c r="C4" s="2" t="s">
        <v>106</v>
      </c>
      <c r="D4" s="2">
        <v>30000</v>
      </c>
      <c r="E4" s="2" t="s">
        <v>107</v>
      </c>
      <c r="F4" s="2">
        <v>45323</v>
      </c>
      <c r="G4" s="2">
        <v>45688</v>
      </c>
      <c r="H4" s="2" t="s">
        <v>115</v>
      </c>
    </row>
    <row r="5" spans="1:8" x14ac:dyDescent="0.35">
      <c r="A5" s="3" t="s">
        <v>116</v>
      </c>
      <c r="B5" s="3" t="s">
        <v>26</v>
      </c>
      <c r="C5" s="3" t="s">
        <v>117</v>
      </c>
      <c r="D5" s="3">
        <v>2500000</v>
      </c>
      <c r="E5" s="3" t="s">
        <v>118</v>
      </c>
      <c r="F5" s="3" t="s">
        <v>119</v>
      </c>
      <c r="G5" s="3" t="s">
        <v>120</v>
      </c>
      <c r="H5" s="3" t="s">
        <v>108</v>
      </c>
    </row>
    <row r="6" spans="1:8" x14ac:dyDescent="0.35">
      <c r="A6" s="2" t="s">
        <v>121</v>
      </c>
      <c r="B6" s="2" t="s">
        <v>32</v>
      </c>
      <c r="C6" s="2" t="s">
        <v>36</v>
      </c>
      <c r="D6" s="2">
        <v>500000</v>
      </c>
      <c r="E6" s="2" t="s">
        <v>110</v>
      </c>
      <c r="F6" s="2">
        <v>45354</v>
      </c>
      <c r="G6" s="2">
        <v>45719</v>
      </c>
      <c r="H6" s="2" t="s">
        <v>122</v>
      </c>
    </row>
    <row r="7" spans="1:8" x14ac:dyDescent="0.35">
      <c r="A7" s="3" t="s">
        <v>123</v>
      </c>
      <c r="B7" s="3" t="s">
        <v>37</v>
      </c>
      <c r="C7" s="3" t="s">
        <v>106</v>
      </c>
      <c r="D7" s="3">
        <v>15000</v>
      </c>
      <c r="E7" s="3" t="s">
        <v>107</v>
      </c>
      <c r="F7" s="3" t="s">
        <v>124</v>
      </c>
      <c r="G7" s="3" t="s">
        <v>125</v>
      </c>
      <c r="H7" s="3" t="s">
        <v>108</v>
      </c>
    </row>
    <row r="8" spans="1:8" x14ac:dyDescent="0.35">
      <c r="A8" s="2" t="s">
        <v>126</v>
      </c>
      <c r="B8" s="2" t="s">
        <v>42</v>
      </c>
      <c r="C8" s="2" t="s">
        <v>36</v>
      </c>
      <c r="D8" s="2">
        <v>180000</v>
      </c>
      <c r="E8" s="2" t="s">
        <v>110</v>
      </c>
      <c r="F8" s="2">
        <v>45384</v>
      </c>
      <c r="G8" s="2">
        <v>45749</v>
      </c>
      <c r="H8" s="2" t="s">
        <v>115</v>
      </c>
    </row>
    <row r="9" spans="1:8" x14ac:dyDescent="0.35">
      <c r="A9" s="3" t="s">
        <v>127</v>
      </c>
      <c r="B9" s="3" t="s">
        <v>46</v>
      </c>
      <c r="C9" s="3" t="s">
        <v>117</v>
      </c>
      <c r="D9" s="3">
        <v>1800000</v>
      </c>
      <c r="E9" s="3" t="s">
        <v>118</v>
      </c>
      <c r="F9" s="3" t="s">
        <v>128</v>
      </c>
      <c r="G9" s="3" t="s">
        <v>129</v>
      </c>
      <c r="H9" s="3" t="s">
        <v>113</v>
      </c>
    </row>
    <row r="10" spans="1:8" x14ac:dyDescent="0.35">
      <c r="A10" s="2" t="s">
        <v>130</v>
      </c>
      <c r="B10" s="2" t="s">
        <v>51</v>
      </c>
      <c r="C10" s="2" t="s">
        <v>106</v>
      </c>
      <c r="D10" s="2">
        <v>75000</v>
      </c>
      <c r="E10" s="2" t="s">
        <v>107</v>
      </c>
      <c r="F10" s="2">
        <v>45415</v>
      </c>
      <c r="G10" s="2">
        <v>45780</v>
      </c>
      <c r="H10" s="2" t="s">
        <v>131</v>
      </c>
    </row>
    <row r="11" spans="1:8" x14ac:dyDescent="0.35">
      <c r="A11" s="3" t="s">
        <v>132</v>
      </c>
      <c r="B11" s="3" t="s">
        <v>54</v>
      </c>
      <c r="C11" s="3" t="s">
        <v>36</v>
      </c>
      <c r="D11" s="3">
        <v>320000</v>
      </c>
      <c r="E11" s="3" t="s">
        <v>110</v>
      </c>
      <c r="F11" s="3" t="s">
        <v>133</v>
      </c>
      <c r="G11" s="3" t="s">
        <v>134</v>
      </c>
      <c r="H11" s="3" t="s">
        <v>108</v>
      </c>
    </row>
    <row r="12" spans="1:8" x14ac:dyDescent="0.35">
      <c r="A12" s="2" t="s">
        <v>135</v>
      </c>
      <c r="B12" s="2" t="s">
        <v>59</v>
      </c>
      <c r="C12" s="2" t="s">
        <v>106</v>
      </c>
      <c r="D12" s="2">
        <v>45000</v>
      </c>
      <c r="E12" s="2" t="s">
        <v>107</v>
      </c>
      <c r="F12" s="2">
        <v>45446</v>
      </c>
      <c r="G12" s="2">
        <v>45811</v>
      </c>
      <c r="H12" s="2" t="s">
        <v>115</v>
      </c>
    </row>
    <row r="13" spans="1:8" x14ac:dyDescent="0.35">
      <c r="A13" s="3" t="s">
        <v>136</v>
      </c>
      <c r="B13" s="3" t="s">
        <v>63</v>
      </c>
      <c r="C13" s="3" t="s">
        <v>36</v>
      </c>
      <c r="D13" s="3">
        <v>150000</v>
      </c>
      <c r="E13" s="3" t="s">
        <v>110</v>
      </c>
      <c r="F13" s="3" t="s">
        <v>137</v>
      </c>
      <c r="G13" s="3" t="s">
        <v>138</v>
      </c>
      <c r="H13" s="3" t="s">
        <v>113</v>
      </c>
    </row>
    <row r="14" spans="1:8" x14ac:dyDescent="0.35">
      <c r="A14" s="2" t="s">
        <v>139</v>
      </c>
      <c r="B14" s="2" t="s">
        <v>67</v>
      </c>
      <c r="C14" s="2" t="s">
        <v>117</v>
      </c>
      <c r="D14" s="2">
        <v>3200000</v>
      </c>
      <c r="E14" s="2" t="s">
        <v>118</v>
      </c>
      <c r="F14" s="2">
        <v>45476</v>
      </c>
      <c r="G14" s="2">
        <v>45841</v>
      </c>
      <c r="H14" s="2" t="s">
        <v>108</v>
      </c>
    </row>
    <row r="15" spans="1:8" x14ac:dyDescent="0.35">
      <c r="A15" s="3" t="s">
        <v>140</v>
      </c>
      <c r="B15" s="3" t="s">
        <v>70</v>
      </c>
      <c r="C15" s="3" t="s">
        <v>106</v>
      </c>
      <c r="D15" s="3">
        <v>60000</v>
      </c>
      <c r="E15" s="3" t="s">
        <v>107</v>
      </c>
      <c r="F15" s="3" t="s">
        <v>141</v>
      </c>
      <c r="G15" s="3" t="s">
        <v>142</v>
      </c>
      <c r="H15" s="3" t="s">
        <v>122</v>
      </c>
    </row>
    <row r="16" spans="1:8" x14ac:dyDescent="0.35">
      <c r="A16" s="2" t="s">
        <v>143</v>
      </c>
      <c r="B16" s="2" t="s">
        <v>74</v>
      </c>
      <c r="C16" s="2" t="s">
        <v>36</v>
      </c>
      <c r="D16" s="2">
        <v>420000</v>
      </c>
      <c r="E16" s="2" t="s">
        <v>110</v>
      </c>
      <c r="F16" s="2">
        <v>45507</v>
      </c>
      <c r="G16" s="2">
        <v>45872</v>
      </c>
      <c r="H16" s="2" t="s">
        <v>108</v>
      </c>
    </row>
    <row r="17" spans="1:8" x14ac:dyDescent="0.35">
      <c r="A17" s="3" t="s">
        <v>144</v>
      </c>
      <c r="B17" s="3" t="s">
        <v>77</v>
      </c>
      <c r="C17" s="3" t="s">
        <v>106</v>
      </c>
      <c r="D17" s="3">
        <v>25000</v>
      </c>
      <c r="E17" s="3" t="s">
        <v>107</v>
      </c>
      <c r="F17" s="3" t="s">
        <v>145</v>
      </c>
      <c r="G17" s="3" t="s">
        <v>146</v>
      </c>
      <c r="H17" s="3" t="s">
        <v>115</v>
      </c>
    </row>
    <row r="18" spans="1:8" x14ac:dyDescent="0.35">
      <c r="A18" s="2" t="s">
        <v>147</v>
      </c>
      <c r="B18" s="2" t="s">
        <v>82</v>
      </c>
      <c r="C18" s="2" t="s">
        <v>36</v>
      </c>
      <c r="D18" s="2">
        <v>280000</v>
      </c>
      <c r="E18" s="2" t="s">
        <v>110</v>
      </c>
      <c r="F18" s="2">
        <v>45538</v>
      </c>
      <c r="G18" s="2">
        <v>45903</v>
      </c>
      <c r="H18" s="2" t="s">
        <v>108</v>
      </c>
    </row>
    <row r="19" spans="1:8" x14ac:dyDescent="0.35">
      <c r="A19" s="3" t="s">
        <v>148</v>
      </c>
      <c r="B19" s="3" t="s">
        <v>86</v>
      </c>
      <c r="C19" s="3" t="s">
        <v>117</v>
      </c>
      <c r="D19" s="3">
        <v>2100000</v>
      </c>
      <c r="E19" s="3" t="s">
        <v>118</v>
      </c>
      <c r="F19" s="3" t="s">
        <v>149</v>
      </c>
      <c r="G19" s="3" t="s">
        <v>150</v>
      </c>
      <c r="H19" s="3" t="s">
        <v>113</v>
      </c>
    </row>
    <row r="20" spans="1:8" x14ac:dyDescent="0.35">
      <c r="A20" s="2" t="s">
        <v>151</v>
      </c>
      <c r="B20" s="2" t="s">
        <v>90</v>
      </c>
      <c r="C20" s="2" t="s">
        <v>106</v>
      </c>
      <c r="D20" s="2">
        <v>90000</v>
      </c>
      <c r="E20" s="2" t="s">
        <v>107</v>
      </c>
      <c r="F20" s="2">
        <v>45568</v>
      </c>
      <c r="G20" s="2">
        <v>45933</v>
      </c>
      <c r="H20" s="2" t="s">
        <v>131</v>
      </c>
    </row>
    <row r="21" spans="1:8" x14ac:dyDescent="0.35">
      <c r="A21" s="3" t="s">
        <v>152</v>
      </c>
      <c r="B21" s="3" t="s">
        <v>94</v>
      </c>
      <c r="C21" s="3" t="s">
        <v>36</v>
      </c>
      <c r="D21" s="3">
        <v>195000</v>
      </c>
      <c r="E21" s="3" t="s">
        <v>110</v>
      </c>
      <c r="F21" s="3" t="s">
        <v>153</v>
      </c>
      <c r="G21" s="3" t="s">
        <v>154</v>
      </c>
      <c r="H21" s="3" t="s">
        <v>108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10" customWidth="1"/>
    <col min="2" max="3" width="8" customWidth="1"/>
    <col min="4" max="5" width="14" customWidth="1"/>
    <col min="6" max="6" width="16" customWidth="1"/>
    <col min="7" max="7" width="10" customWidth="1"/>
  </cols>
  <sheetData>
    <row r="1" spans="1:7" x14ac:dyDescent="0.35">
      <c r="A1" s="1" t="s">
        <v>155</v>
      </c>
      <c r="B1" s="1" t="s">
        <v>98</v>
      </c>
      <c r="C1" s="1" t="s">
        <v>0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35">
      <c r="A2" s="2" t="s">
        <v>160</v>
      </c>
      <c r="B2" s="2" t="s">
        <v>105</v>
      </c>
      <c r="C2" s="2" t="s">
        <v>8</v>
      </c>
      <c r="D2" s="2">
        <v>5000</v>
      </c>
      <c r="E2" s="2">
        <v>45322</v>
      </c>
      <c r="F2" s="2" t="s">
        <v>161</v>
      </c>
      <c r="G2" s="2">
        <v>0</v>
      </c>
    </row>
    <row r="3" spans="1:7" x14ac:dyDescent="0.35">
      <c r="A3" s="3" t="s">
        <v>162</v>
      </c>
      <c r="B3" s="3" t="s">
        <v>109</v>
      </c>
      <c r="C3" s="3" t="s">
        <v>14</v>
      </c>
      <c r="D3" s="3">
        <v>25000</v>
      </c>
      <c r="E3" s="3" t="s">
        <v>163</v>
      </c>
      <c r="F3" s="3" t="s">
        <v>164</v>
      </c>
      <c r="G3" s="3">
        <v>5</v>
      </c>
    </row>
    <row r="4" spans="1:7" x14ac:dyDescent="0.35">
      <c r="A4" s="2" t="s">
        <v>165</v>
      </c>
      <c r="B4" s="2" t="s">
        <v>114</v>
      </c>
      <c r="C4" s="2" t="s">
        <v>21</v>
      </c>
      <c r="D4" s="2">
        <v>3000</v>
      </c>
      <c r="E4" s="2">
        <v>45353</v>
      </c>
      <c r="F4" s="2" t="s">
        <v>166</v>
      </c>
      <c r="G4" s="2">
        <v>12</v>
      </c>
    </row>
    <row r="5" spans="1:7" x14ac:dyDescent="0.35">
      <c r="A5" s="3" t="s">
        <v>167</v>
      </c>
      <c r="B5" s="3" t="s">
        <v>116</v>
      </c>
      <c r="C5" s="3" t="s">
        <v>26</v>
      </c>
      <c r="D5" s="3">
        <v>45000</v>
      </c>
      <c r="E5" s="3" t="s">
        <v>168</v>
      </c>
      <c r="F5" s="3" t="s">
        <v>169</v>
      </c>
      <c r="G5" s="3">
        <v>0</v>
      </c>
    </row>
    <row r="6" spans="1:7" x14ac:dyDescent="0.35">
      <c r="A6" s="2" t="s">
        <v>170</v>
      </c>
      <c r="B6" s="2" t="s">
        <v>121</v>
      </c>
      <c r="C6" s="2" t="s">
        <v>32</v>
      </c>
      <c r="D6" s="2">
        <v>0</v>
      </c>
      <c r="E6" s="2">
        <v>45384</v>
      </c>
      <c r="F6" s="2" t="s">
        <v>171</v>
      </c>
      <c r="G6" s="2">
        <v>90</v>
      </c>
    </row>
    <row r="7" spans="1:7" x14ac:dyDescent="0.35">
      <c r="A7" s="3" t="s">
        <v>172</v>
      </c>
      <c r="B7" s="3" t="s">
        <v>123</v>
      </c>
      <c r="C7" s="3" t="s">
        <v>37</v>
      </c>
      <c r="D7" s="3">
        <v>1500</v>
      </c>
      <c r="E7" s="3" t="s">
        <v>173</v>
      </c>
      <c r="F7" s="3" t="s">
        <v>161</v>
      </c>
      <c r="G7" s="3">
        <v>3</v>
      </c>
    </row>
    <row r="8" spans="1:7" x14ac:dyDescent="0.35">
      <c r="A8" s="2" t="s">
        <v>174</v>
      </c>
      <c r="B8" s="2" t="s">
        <v>126</v>
      </c>
      <c r="C8" s="2" t="s">
        <v>42</v>
      </c>
      <c r="D8" s="2">
        <v>18000</v>
      </c>
      <c r="E8" s="2">
        <v>45415</v>
      </c>
      <c r="F8" s="2" t="s">
        <v>175</v>
      </c>
      <c r="G8" s="2">
        <v>0</v>
      </c>
    </row>
    <row r="9" spans="1:7" x14ac:dyDescent="0.35">
      <c r="A9" s="3" t="s">
        <v>176</v>
      </c>
      <c r="B9" s="3" t="s">
        <v>127</v>
      </c>
      <c r="C9" s="3" t="s">
        <v>46</v>
      </c>
      <c r="D9" s="3">
        <v>35000</v>
      </c>
      <c r="E9" s="3" t="s">
        <v>177</v>
      </c>
      <c r="F9" s="3" t="s">
        <v>164</v>
      </c>
      <c r="G9" s="3">
        <v>0</v>
      </c>
    </row>
    <row r="10" spans="1:7" x14ac:dyDescent="0.35">
      <c r="A10" s="2" t="s">
        <v>178</v>
      </c>
      <c r="B10" s="2" t="s">
        <v>130</v>
      </c>
      <c r="C10" s="2" t="s">
        <v>51</v>
      </c>
      <c r="D10" s="2">
        <v>0</v>
      </c>
      <c r="E10" s="2">
        <v>45446</v>
      </c>
      <c r="F10" s="2" t="s">
        <v>171</v>
      </c>
      <c r="G10" s="2">
        <v>75</v>
      </c>
    </row>
    <row r="11" spans="1:7" x14ac:dyDescent="0.35">
      <c r="A11" s="3" t="s">
        <v>179</v>
      </c>
      <c r="B11" s="3" t="s">
        <v>132</v>
      </c>
      <c r="C11" s="3" t="s">
        <v>54</v>
      </c>
      <c r="D11" s="3">
        <v>32000</v>
      </c>
      <c r="E11" s="3" t="s">
        <v>180</v>
      </c>
      <c r="F11" s="3" t="s">
        <v>161</v>
      </c>
      <c r="G11" s="3">
        <v>8</v>
      </c>
    </row>
    <row r="12" spans="1:7" x14ac:dyDescent="0.35">
      <c r="A12" s="2" t="s">
        <v>181</v>
      </c>
      <c r="B12" s="2" t="s">
        <v>135</v>
      </c>
      <c r="C12" s="2" t="s">
        <v>59</v>
      </c>
      <c r="D12" s="2">
        <v>4500</v>
      </c>
      <c r="E12" s="2">
        <v>45476</v>
      </c>
      <c r="F12" s="2" t="s">
        <v>166</v>
      </c>
      <c r="G12" s="2">
        <v>0</v>
      </c>
    </row>
    <row r="13" spans="1:7" x14ac:dyDescent="0.35">
      <c r="A13" s="3" t="s">
        <v>182</v>
      </c>
      <c r="B13" s="3" t="s">
        <v>136</v>
      </c>
      <c r="C13" s="3" t="s">
        <v>63</v>
      </c>
      <c r="D13" s="3">
        <v>15000</v>
      </c>
      <c r="E13" s="3" t="s">
        <v>183</v>
      </c>
      <c r="F13" s="3" t="s">
        <v>169</v>
      </c>
      <c r="G13" s="3">
        <v>2</v>
      </c>
    </row>
    <row r="14" spans="1:7" x14ac:dyDescent="0.35">
      <c r="A14" s="2" t="s">
        <v>184</v>
      </c>
      <c r="B14" s="2" t="s">
        <v>139</v>
      </c>
      <c r="C14" s="2" t="s">
        <v>67</v>
      </c>
      <c r="D14" s="2">
        <v>58000</v>
      </c>
      <c r="E14" s="2">
        <v>45507</v>
      </c>
      <c r="F14" s="2" t="s">
        <v>164</v>
      </c>
      <c r="G14" s="2">
        <v>0</v>
      </c>
    </row>
    <row r="15" spans="1:7" x14ac:dyDescent="0.35">
      <c r="A15" s="3" t="s">
        <v>185</v>
      </c>
      <c r="B15" s="3" t="s">
        <v>140</v>
      </c>
      <c r="C15" s="3" t="s">
        <v>70</v>
      </c>
      <c r="D15" s="3">
        <v>0</v>
      </c>
      <c r="E15" s="3" t="s">
        <v>186</v>
      </c>
      <c r="F15" s="3" t="s">
        <v>171</v>
      </c>
      <c r="G15" s="3">
        <v>85</v>
      </c>
    </row>
    <row r="16" spans="1:7" x14ac:dyDescent="0.35">
      <c r="A16" s="2" t="s">
        <v>187</v>
      </c>
      <c r="B16" s="2" t="s">
        <v>143</v>
      </c>
      <c r="C16" s="2" t="s">
        <v>74</v>
      </c>
      <c r="D16" s="2">
        <v>42000</v>
      </c>
      <c r="E16" s="2">
        <v>45538</v>
      </c>
      <c r="F16" s="2" t="s">
        <v>161</v>
      </c>
      <c r="G16" s="2">
        <v>0</v>
      </c>
    </row>
    <row r="17" spans="1:7" x14ac:dyDescent="0.35">
      <c r="A17" s="3" t="s">
        <v>188</v>
      </c>
      <c r="B17" s="3" t="s">
        <v>144</v>
      </c>
      <c r="C17" s="3" t="s">
        <v>77</v>
      </c>
      <c r="D17" s="3">
        <v>2500</v>
      </c>
      <c r="E17" s="3" t="s">
        <v>189</v>
      </c>
      <c r="F17" s="3" t="s">
        <v>166</v>
      </c>
      <c r="G17" s="3">
        <v>6</v>
      </c>
    </row>
    <row r="18" spans="1:7" x14ac:dyDescent="0.35">
      <c r="A18" s="2" t="s">
        <v>190</v>
      </c>
      <c r="B18" s="2" t="s">
        <v>147</v>
      </c>
      <c r="C18" s="2" t="s">
        <v>82</v>
      </c>
      <c r="D18" s="2">
        <v>28000</v>
      </c>
      <c r="E18" s="2">
        <v>45568</v>
      </c>
      <c r="F18" s="2" t="s">
        <v>169</v>
      </c>
      <c r="G18" s="2">
        <v>0</v>
      </c>
    </row>
    <row r="19" spans="1:7" x14ac:dyDescent="0.35">
      <c r="A19" s="3" t="s">
        <v>191</v>
      </c>
      <c r="B19" s="3" t="s">
        <v>148</v>
      </c>
      <c r="C19" s="3" t="s">
        <v>86</v>
      </c>
      <c r="D19" s="3">
        <v>38000</v>
      </c>
      <c r="E19" s="3" t="s">
        <v>192</v>
      </c>
      <c r="F19" s="3" t="s">
        <v>164</v>
      </c>
      <c r="G19" s="3">
        <v>0</v>
      </c>
    </row>
    <row r="20" spans="1:7" x14ac:dyDescent="0.35">
      <c r="A20" s="2" t="s">
        <v>193</v>
      </c>
      <c r="B20" s="2" t="s">
        <v>151</v>
      </c>
      <c r="C20" s="2" t="s">
        <v>90</v>
      </c>
      <c r="D20" s="2">
        <v>0</v>
      </c>
      <c r="E20" s="2">
        <v>45599</v>
      </c>
      <c r="F20" s="2" t="s">
        <v>171</v>
      </c>
      <c r="G20" s="2">
        <v>92</v>
      </c>
    </row>
    <row r="21" spans="1:7" x14ac:dyDescent="0.35">
      <c r="A21" s="3" t="s">
        <v>194</v>
      </c>
      <c r="B21" s="3" t="s">
        <v>152</v>
      </c>
      <c r="C21" s="3" t="s">
        <v>94</v>
      </c>
      <c r="D21" s="3">
        <v>19500</v>
      </c>
      <c r="E21" s="3" t="s">
        <v>195</v>
      </c>
      <c r="F21" s="3" t="s">
        <v>161</v>
      </c>
      <c r="G21" s="3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>
      <selection activeCell="A33" sqref="A33:XFD33"/>
    </sheetView>
  </sheetViews>
  <sheetFormatPr defaultRowHeight="14.5" x14ac:dyDescent="0.35"/>
  <cols>
    <col min="1" max="1" width="75" customWidth="1"/>
  </cols>
  <sheetData>
    <row r="1" spans="1:1" ht="36" x14ac:dyDescent="0.4">
      <c r="A1" s="4" t="s">
        <v>196</v>
      </c>
    </row>
    <row r="2" spans="1:1" x14ac:dyDescent="0.35">
      <c r="A2" s="5"/>
    </row>
    <row r="3" spans="1:1" x14ac:dyDescent="0.35">
      <c r="A3" s="6" t="s">
        <v>197</v>
      </c>
    </row>
    <row r="4" spans="1:1" x14ac:dyDescent="0.35">
      <c r="A4" s="5" t="s">
        <v>258</v>
      </c>
    </row>
    <row r="5" spans="1:1" x14ac:dyDescent="0.35">
      <c r="A5" s="5" t="s">
        <v>198</v>
      </c>
    </row>
    <row r="6" spans="1:1" x14ac:dyDescent="0.35">
      <c r="A6" s="5" t="s">
        <v>259</v>
      </c>
    </row>
    <row r="7" spans="1:1" x14ac:dyDescent="0.35">
      <c r="A7" s="5" t="s">
        <v>199</v>
      </c>
    </row>
    <row r="8" spans="1:1" x14ac:dyDescent="0.35">
      <c r="A8" s="5"/>
    </row>
    <row r="9" spans="1:1" x14ac:dyDescent="0.35">
      <c r="A9" s="6" t="s">
        <v>200</v>
      </c>
    </row>
    <row r="10" spans="1:1" x14ac:dyDescent="0.35">
      <c r="A10" s="5" t="s">
        <v>260</v>
      </c>
    </row>
    <row r="11" spans="1:1" x14ac:dyDescent="0.35">
      <c r="A11" s="5" t="s">
        <v>261</v>
      </c>
    </row>
    <row r="12" spans="1:1" x14ac:dyDescent="0.35">
      <c r="A12" s="5" t="s">
        <v>262</v>
      </c>
    </row>
    <row r="13" spans="1:1" s="35" customFormat="1" x14ac:dyDescent="0.35">
      <c r="A13" s="34" t="s">
        <v>263</v>
      </c>
    </row>
    <row r="14" spans="1:1" x14ac:dyDescent="0.35">
      <c r="A14" s="5" t="s">
        <v>264</v>
      </c>
    </row>
    <row r="15" spans="1:1" x14ac:dyDescent="0.35">
      <c r="A15" s="5" t="s">
        <v>265</v>
      </c>
    </row>
    <row r="16" spans="1:1" x14ac:dyDescent="0.35">
      <c r="A16" s="5" t="s">
        <v>266</v>
      </c>
    </row>
    <row r="17" spans="1:1" x14ac:dyDescent="0.35">
      <c r="A17" s="5"/>
    </row>
    <row r="18" spans="1:1" x14ac:dyDescent="0.35">
      <c r="A18" s="6" t="s">
        <v>267</v>
      </c>
    </row>
    <row r="19" spans="1:1" x14ac:dyDescent="0.35">
      <c r="A19" s="5" t="s">
        <v>201</v>
      </c>
    </row>
    <row r="20" spans="1:1" x14ac:dyDescent="0.35">
      <c r="A20" s="5" t="s">
        <v>202</v>
      </c>
    </row>
    <row r="21" spans="1:1" x14ac:dyDescent="0.35">
      <c r="A21" s="5" t="s">
        <v>203</v>
      </c>
    </row>
    <row r="22" spans="1:1" x14ac:dyDescent="0.35">
      <c r="A22" s="5" t="s">
        <v>204</v>
      </c>
    </row>
    <row r="23" spans="1:1" x14ac:dyDescent="0.35">
      <c r="A23" s="5" t="s">
        <v>205</v>
      </c>
    </row>
    <row r="24" spans="1:1" x14ac:dyDescent="0.35">
      <c r="A24" s="5" t="s">
        <v>206</v>
      </c>
    </row>
    <row r="25" spans="1:1" x14ac:dyDescent="0.35">
      <c r="A25" s="5"/>
    </row>
    <row r="26" spans="1:1" x14ac:dyDescent="0.35">
      <c r="A26" s="6" t="s">
        <v>207</v>
      </c>
    </row>
    <row r="27" spans="1:1" x14ac:dyDescent="0.35">
      <c r="A27" s="5" t="s">
        <v>208</v>
      </c>
    </row>
    <row r="28" spans="1:1" x14ac:dyDescent="0.35">
      <c r="A28" s="5" t="s">
        <v>209</v>
      </c>
    </row>
    <row r="29" spans="1:1" x14ac:dyDescent="0.35">
      <c r="A29" s="5" t="s">
        <v>210</v>
      </c>
    </row>
    <row r="30" spans="1:1" x14ac:dyDescent="0.35">
      <c r="A30" s="5" t="s">
        <v>211</v>
      </c>
    </row>
    <row r="31" spans="1:1" x14ac:dyDescent="0.35">
      <c r="A31" s="5" t="s">
        <v>212</v>
      </c>
    </row>
    <row r="32" spans="1:1" x14ac:dyDescent="0.35">
      <c r="A32" s="5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B26B04-90E3-403F-BB9A-5D12983882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Master_Portfolio</vt:lpstr>
      <vt:lpstr>ANALYSIS</vt:lpstr>
      <vt:lpstr>DASHBOARD</vt:lpstr>
      <vt:lpstr>Clean_Repayments</vt:lpstr>
      <vt:lpstr>Clean_Loans</vt:lpstr>
      <vt:lpstr>Clean_Customers</vt:lpstr>
      <vt:lpstr>RAW_Customers</vt:lpstr>
      <vt:lpstr>RAW_Loans</vt:lpstr>
      <vt:lpstr>RAW_Repayments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Chicho</cp:lastModifiedBy>
  <dcterms:created xsi:type="dcterms:W3CDTF">2026-03-11T08:37:44Z</dcterms:created>
  <dcterms:modified xsi:type="dcterms:W3CDTF">2026-03-14T22:06:29Z</dcterms:modified>
</cp:coreProperties>
</file>